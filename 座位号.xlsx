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:\战略所\2026年工作\联合国创新会议\座位号程序\seatSelection\"/>
    </mc:Choice>
  </mc:AlternateContent>
  <xr:revisionPtr revIDLastSave="0" documentId="13_ncr:1_{B41C86C2-7C2A-41F0-8EAB-506F5F11CB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人员名单" sheetId="2" r:id="rId1"/>
    <sheet name="座位图 " sheetId="5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4" i="5" l="1"/>
  <c r="AR51" i="5"/>
  <c r="AP51" i="5"/>
  <c r="AO51" i="5"/>
  <c r="AN51" i="5"/>
  <c r="AM51" i="5"/>
  <c r="AL51" i="5"/>
  <c r="AK51" i="5"/>
  <c r="AJ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N51" i="5"/>
  <c r="M51" i="5"/>
  <c r="L51" i="5"/>
  <c r="K51" i="5"/>
  <c r="J51" i="5"/>
  <c r="I51" i="5"/>
  <c r="H51" i="5"/>
  <c r="G51" i="5"/>
  <c r="F51" i="5"/>
  <c r="E51" i="5"/>
  <c r="AT47" i="5"/>
  <c r="AS47" i="5"/>
  <c r="AR47" i="5"/>
  <c r="AQ47" i="5"/>
  <c r="AP47" i="5"/>
  <c r="AO47" i="5"/>
  <c r="AN47" i="5"/>
  <c r="AM47" i="5"/>
  <c r="AL47" i="5"/>
  <c r="AK47" i="5"/>
  <c r="AJ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N47" i="5"/>
  <c r="M47" i="5"/>
  <c r="L47" i="5"/>
  <c r="K47" i="5"/>
  <c r="J47" i="5"/>
  <c r="I47" i="5"/>
  <c r="H47" i="5"/>
  <c r="G47" i="5"/>
  <c r="F47" i="5"/>
  <c r="E47" i="5"/>
  <c r="D47" i="5"/>
  <c r="AT43" i="5"/>
  <c r="AS43" i="5"/>
  <c r="AR43" i="5"/>
  <c r="AQ43" i="5"/>
  <c r="AP43" i="5"/>
  <c r="AO43" i="5"/>
  <c r="AN43" i="5"/>
  <c r="AM43" i="5"/>
  <c r="AL43" i="5"/>
  <c r="AK43" i="5"/>
  <c r="AJ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N43" i="5"/>
  <c r="M43" i="5"/>
  <c r="L43" i="5"/>
  <c r="K43" i="5"/>
  <c r="J43" i="5"/>
  <c r="I43" i="5"/>
  <c r="H43" i="5"/>
  <c r="G43" i="5"/>
  <c r="F43" i="5"/>
  <c r="E43" i="5"/>
  <c r="D43" i="5"/>
  <c r="AT39" i="5"/>
  <c r="AS39" i="5"/>
  <c r="AR39" i="5"/>
  <c r="AQ39" i="5"/>
  <c r="AP39" i="5"/>
  <c r="AO39" i="5"/>
  <c r="AN39" i="5"/>
  <c r="AM39" i="5"/>
  <c r="AL39" i="5"/>
  <c r="AK39" i="5"/>
  <c r="AJ39" i="5"/>
  <c r="AH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N39" i="5"/>
  <c r="M39" i="5"/>
  <c r="L39" i="5"/>
  <c r="K39" i="5"/>
  <c r="J39" i="5"/>
  <c r="I39" i="5"/>
  <c r="H39" i="5"/>
  <c r="G39" i="5"/>
  <c r="F39" i="5"/>
  <c r="E39" i="5"/>
  <c r="D39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N35" i="5"/>
  <c r="M35" i="5"/>
  <c r="L35" i="5"/>
  <c r="K35" i="5"/>
  <c r="J35" i="5"/>
  <c r="I35" i="5"/>
  <c r="H35" i="5"/>
  <c r="G35" i="5"/>
  <c r="F35" i="5"/>
  <c r="E35" i="5"/>
  <c r="D35" i="5"/>
  <c r="C35" i="5"/>
  <c r="AT31" i="5"/>
  <c r="AS31" i="5"/>
  <c r="AR31" i="5"/>
  <c r="AQ31" i="5"/>
  <c r="AP31" i="5"/>
  <c r="AO31" i="5"/>
  <c r="AN31" i="5"/>
  <c r="AM31" i="5"/>
  <c r="AL31" i="5"/>
  <c r="AK31" i="5"/>
  <c r="AJ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N31" i="5"/>
  <c r="M31" i="5"/>
  <c r="L31" i="5"/>
  <c r="K31" i="5"/>
  <c r="J31" i="5"/>
  <c r="I31" i="5"/>
  <c r="H31" i="5"/>
  <c r="G31" i="5"/>
  <c r="F31" i="5"/>
  <c r="E31" i="5"/>
  <c r="D31" i="5"/>
  <c r="AT27" i="5"/>
  <c r="AS27" i="5"/>
  <c r="AR27" i="5"/>
  <c r="AQ27" i="5"/>
  <c r="AP27" i="5"/>
  <c r="AO27" i="5"/>
  <c r="AN27" i="5"/>
  <c r="AM27" i="5"/>
  <c r="AL27" i="5"/>
  <c r="AK27" i="5"/>
  <c r="AJ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N27" i="5"/>
  <c r="M27" i="5"/>
  <c r="L27" i="5"/>
  <c r="K27" i="5"/>
  <c r="J27" i="5"/>
  <c r="I27" i="5"/>
  <c r="H27" i="5"/>
  <c r="G27" i="5"/>
  <c r="F27" i="5"/>
  <c r="E27" i="5"/>
  <c r="D27" i="5"/>
  <c r="AS23" i="5"/>
  <c r="AR23" i="5"/>
  <c r="AQ23" i="5"/>
  <c r="AP23" i="5"/>
  <c r="AO23" i="5"/>
  <c r="AN23" i="5"/>
  <c r="AM23" i="5"/>
  <c r="AL23" i="5"/>
  <c r="AK23" i="5"/>
  <c r="AJ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N23" i="5"/>
  <c r="M23" i="5"/>
  <c r="L23" i="5"/>
  <c r="K23" i="5"/>
  <c r="J23" i="5"/>
  <c r="I23" i="5"/>
  <c r="H23" i="5"/>
  <c r="G23" i="5"/>
  <c r="F23" i="5"/>
  <c r="E23" i="5"/>
  <c r="AR19" i="5"/>
  <c r="AQ19" i="5"/>
  <c r="AP19" i="5"/>
  <c r="AO19" i="5"/>
  <c r="AN19" i="5"/>
  <c r="AM19" i="5"/>
  <c r="AL19" i="5"/>
  <c r="AK19" i="5"/>
  <c r="AJ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N19" i="5"/>
  <c r="M19" i="5"/>
  <c r="L19" i="5"/>
  <c r="K19" i="5"/>
  <c r="J19" i="5"/>
  <c r="I19" i="5"/>
  <c r="H19" i="5"/>
  <c r="G19" i="5"/>
  <c r="F19" i="5"/>
  <c r="AO15" i="5"/>
  <c r="AM15" i="5"/>
  <c r="AK15" i="5"/>
  <c r="AE15" i="5"/>
  <c r="AC15" i="5"/>
  <c r="AA15" i="5"/>
  <c r="Y15" i="5"/>
  <c r="W15" i="5"/>
  <c r="U15" i="5"/>
  <c r="S15" i="5"/>
  <c r="M15" i="5"/>
  <c r="K15" i="5"/>
  <c r="I15" i="5"/>
</calcChain>
</file>

<file path=xl/sharedStrings.xml><?xml version="1.0" encoding="utf-8"?>
<sst xmlns="http://schemas.openxmlformats.org/spreadsheetml/2006/main" count="129" uniqueCount="84">
  <si>
    <t>编号</t>
  </si>
  <si>
    <t>姓名</t>
  </si>
  <si>
    <t>单位</t>
  </si>
  <si>
    <t>职务</t>
  </si>
  <si>
    <t>座位号</t>
  </si>
  <si>
    <t>王祺扬</t>
  </si>
  <si>
    <t>海南省委常委、三亚市委书记</t>
  </si>
  <si>
    <t>孙  键</t>
  </si>
  <si>
    <t>中国科技部国际合作司</t>
  </si>
  <si>
    <t>副司长</t>
  </si>
  <si>
    <t>张永涛</t>
  </si>
  <si>
    <t>中国21世纪议程管理中心</t>
  </si>
  <si>
    <t>副主任</t>
  </si>
  <si>
    <t>FARID CHEMALE JUNlOR
法里德·谢马莱·朱尼尔</t>
  </si>
  <si>
    <t>巴西大洋钻探联盟</t>
  </si>
  <si>
    <t>主席/院士</t>
  </si>
  <si>
    <t>谢  京</t>
  </si>
  <si>
    <t>海南省人民政府</t>
  </si>
  <si>
    <t>副省长</t>
  </si>
  <si>
    <t>场地座位分布图</t>
  </si>
  <si>
    <t>●红色区域为沙发区</t>
  </si>
  <si>
    <t>数量：4+7+4=15</t>
  </si>
  <si>
    <t>舞台</t>
  </si>
  <si>
    <t>●左侧可容纳117人</t>
  </si>
  <si>
    <t>●中间可容纳214人</t>
  </si>
  <si>
    <t xml:space="preserve"> </t>
  </si>
  <si>
    <t>●右侧可容纳117人</t>
  </si>
  <si>
    <t>合计：448人</t>
  </si>
  <si>
    <t>沙发区</t>
  </si>
  <si>
    <t>第1排</t>
  </si>
  <si>
    <t>第2排</t>
  </si>
  <si>
    <t>第3排</t>
  </si>
  <si>
    <t>第4排</t>
  </si>
  <si>
    <t>付</t>
  </si>
  <si>
    <t>费</t>
  </si>
  <si>
    <t>第5排</t>
  </si>
  <si>
    <t>第6排</t>
  </si>
  <si>
    <t>=AE14$B:$B)</t>
  </si>
  <si>
    <t>第7排</t>
  </si>
  <si>
    <t>第8排</t>
  </si>
  <si>
    <t>第9排</t>
  </si>
  <si>
    <t>分论坛七</t>
  </si>
  <si>
    <t>第10排</t>
  </si>
  <si>
    <t>展</t>
  </si>
  <si>
    <t>商</t>
  </si>
  <si>
    <t>第11排</t>
  </si>
  <si>
    <t>海</t>
  </si>
  <si>
    <t>洋</t>
  </si>
  <si>
    <t>大</t>
  </si>
  <si>
    <t>赛</t>
  </si>
  <si>
    <t>第12排</t>
  </si>
  <si>
    <t>媒体</t>
  </si>
  <si>
    <t>其</t>
  </si>
  <si>
    <t>他</t>
  </si>
  <si>
    <t>入口</t>
  </si>
  <si>
    <t>二楼</t>
  </si>
  <si>
    <t>19人</t>
  </si>
  <si>
    <t>24人</t>
  </si>
  <si>
    <t>20人</t>
  </si>
  <si>
    <t>30人</t>
  </si>
  <si>
    <t>18人</t>
  </si>
  <si>
    <t>15人</t>
  </si>
  <si>
    <t>分论坛一</t>
  </si>
  <si>
    <t>分论坛二</t>
  </si>
  <si>
    <t>分论坛三</t>
  </si>
  <si>
    <t>分论坛四</t>
  </si>
  <si>
    <t>分论坛五</t>
  </si>
  <si>
    <t>分论坛六</t>
  </si>
  <si>
    <t>广州海洋地质调查局</t>
    <phoneticPr fontId="18" type="noConversion"/>
  </si>
  <si>
    <t>唐  享</t>
    <phoneticPr fontId="18" type="noConversion"/>
  </si>
  <si>
    <t>高级工程师</t>
    <phoneticPr fontId="18" type="noConversion"/>
  </si>
  <si>
    <t>刘西宁</t>
    <phoneticPr fontId="18" type="noConversion"/>
  </si>
  <si>
    <t>三亚所海洋测绘研究室主任</t>
    <phoneticPr fontId="18" type="noConversion"/>
  </si>
  <si>
    <t>杨  刚</t>
    <phoneticPr fontId="18" type="noConversion"/>
  </si>
  <si>
    <t>国际基础地理信息中心</t>
    <phoneticPr fontId="18" type="noConversion"/>
  </si>
  <si>
    <t>博士</t>
    <phoneticPr fontId="18" type="noConversion"/>
  </si>
  <si>
    <t>第一排1号</t>
    <phoneticPr fontId="18" type="noConversion"/>
  </si>
  <si>
    <t>第三排2号</t>
    <phoneticPr fontId="18" type="noConversion"/>
  </si>
  <si>
    <t>第二排15号</t>
    <phoneticPr fontId="18" type="noConversion"/>
  </si>
  <si>
    <t>第一排20号</t>
    <phoneticPr fontId="18" type="noConversion"/>
  </si>
  <si>
    <t>第一排2号</t>
    <phoneticPr fontId="18" type="noConversion"/>
  </si>
  <si>
    <t>第一排3号</t>
    <phoneticPr fontId="18" type="noConversion"/>
  </si>
  <si>
    <t>第一排4号</t>
    <phoneticPr fontId="18" type="noConversion"/>
  </si>
  <si>
    <t>第一排5号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</si>
</sst>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rgb="FFFFFF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微软雅黑"/>
      <charset val="134"/>
    </font>
    <font>
      <sz val="11"/>
      <name val="Times New Roman"/>
      <family val="1"/>
    </font>
    <font>
      <sz val="11"/>
      <color theme="1"/>
      <name val="微软雅黑"/>
      <charset val="134"/>
    </font>
    <font>
      <sz val="11"/>
      <color rgb="FF000000"/>
      <name val="方正仿宋_GB2312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 textRotation="255"/>
      <protection locked="0"/>
    </xf>
    <xf numFmtId="0" fontId="0" fillId="0" borderId="0" xfId="0" applyAlignment="1" applyProtection="1">
      <alignment horizontal="center" vertical="center" textRotation="255"/>
      <protection locked="0"/>
    </xf>
    <xf numFmtId="0" fontId="5" fillId="0" borderId="0" xfId="0" applyFont="1" applyAlignment="1" applyProtection="1">
      <alignment horizontal="center" vertical="center" textRotation="255"/>
      <protection hidden="1"/>
    </xf>
    <xf numFmtId="0" fontId="5" fillId="0" borderId="0" xfId="0" applyFont="1" applyFill="1" applyAlignment="1" applyProtection="1">
      <alignment horizontal="center" vertical="center" textRotation="255"/>
      <protection hidden="1"/>
    </xf>
    <xf numFmtId="0" fontId="0" fillId="0" borderId="0" xfId="0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5" borderId="0" xfId="0" applyFill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textRotation="255"/>
      <protection hidden="1"/>
    </xf>
    <xf numFmtId="0" fontId="0" fillId="7" borderId="0" xfId="0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 textRotation="255"/>
      <protection hidden="1"/>
    </xf>
    <xf numFmtId="0" fontId="0" fillId="10" borderId="1" xfId="0" applyFill="1" applyBorder="1" applyAlignment="1" applyProtection="1">
      <alignment horizontal="center" vertical="center" textRotation="255"/>
      <protection hidden="1"/>
    </xf>
    <xf numFmtId="0" fontId="0" fillId="11" borderId="1" xfId="0" applyFill="1" applyBorder="1" applyAlignment="1" applyProtection="1">
      <alignment horizontal="center" vertical="center" textRotation="255"/>
      <protection hidden="1"/>
    </xf>
    <xf numFmtId="0" fontId="0" fillId="12" borderId="1" xfId="0" applyFill="1" applyBorder="1" applyAlignment="1" applyProtection="1">
      <alignment horizontal="center" vertical="center" textRotation="255"/>
      <protection hidden="1"/>
    </xf>
    <xf numFmtId="0" fontId="0" fillId="13" borderId="1" xfId="0" applyFill="1" applyBorder="1" applyAlignment="1" applyProtection="1">
      <alignment horizontal="center" vertical="center" textRotation="255"/>
      <protection hidden="1"/>
    </xf>
    <xf numFmtId="0" fontId="0" fillId="14" borderId="1" xfId="0" applyFill="1" applyBorder="1" applyAlignment="1" applyProtection="1">
      <alignment horizontal="center" vertical="center" textRotation="255"/>
      <protection hidden="1"/>
    </xf>
    <xf numFmtId="0" fontId="0" fillId="15" borderId="1" xfId="0" applyFill="1" applyBorder="1" applyAlignment="1" applyProtection="1">
      <alignment horizontal="center" vertical="center" textRotation="255"/>
      <protection hidden="1"/>
    </xf>
    <xf numFmtId="0" fontId="0" fillId="0" borderId="2" xfId="0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0" fillId="9" borderId="0" xfId="0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0" fillId="15" borderId="0" xfId="0" applyFill="1" applyAlignment="1" applyProtection="1">
      <alignment horizontal="center" vertical="center"/>
      <protection locked="0"/>
    </xf>
    <xf numFmtId="0" fontId="0" fillId="12" borderId="0" xfId="0" applyFill="1" applyAlignment="1" applyProtection="1">
      <alignment horizontal="center" vertical="center"/>
      <protection locked="0"/>
    </xf>
    <xf numFmtId="0" fontId="0" fillId="13" borderId="0" xfId="0" applyFill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14" fillId="17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0" fillId="12" borderId="1" xfId="0" quotePrefix="1" applyFill="1" applyBorder="1" applyAlignment="1" applyProtection="1">
      <alignment horizontal="center" vertical="center" textRotation="255"/>
      <protection hidden="1"/>
    </xf>
    <xf numFmtId="0" fontId="16" fillId="13" borderId="4" xfId="0" applyFont="1" applyFill="1" applyBorder="1" applyAlignment="1">
      <alignment horizontal="center" vertical="center" wrapText="1"/>
    </xf>
    <xf numFmtId="0" fontId="17" fillId="13" borderId="5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center" vertical="center"/>
    </xf>
  </cellXfs>
  <cellStyles count="1">
    <cellStyle name="常规" xfId="0" builtinId="0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3"/>
  <sheetViews>
    <sheetView tabSelected="1" zoomScale="145" zoomScaleNormal="145" workbookViewId="0">
      <selection activeCell="E14" sqref="E13:E14"/>
    </sheetView>
  </sheetViews>
  <sheetFormatPr defaultColWidth="9" defaultRowHeight="13.5"/>
  <cols>
    <col min="1" max="1" width="6.375" customWidth="1"/>
    <col min="2" max="2" width="35" customWidth="1"/>
    <col min="3" max="3" width="38.125" customWidth="1"/>
    <col min="4" max="4" width="26.375" customWidth="1"/>
    <col min="5" max="5" width="15.75" customWidth="1"/>
  </cols>
  <sheetData>
    <row r="2" spans="1:5">
      <c r="A2" s="43" t="s">
        <v>0</v>
      </c>
      <c r="B2" s="43" t="s">
        <v>1</v>
      </c>
      <c r="C2" s="43" t="s">
        <v>2</v>
      </c>
      <c r="D2" s="43" t="s">
        <v>3</v>
      </c>
      <c r="E2" s="43" t="s">
        <v>4</v>
      </c>
    </row>
    <row r="3" spans="1:5" ht="16.5">
      <c r="A3" s="43">
        <v>1</v>
      </c>
      <c r="B3" s="44" t="s">
        <v>5</v>
      </c>
      <c r="C3" s="45"/>
      <c r="D3" s="45" t="s">
        <v>6</v>
      </c>
      <c r="E3" s="97" t="s">
        <v>76</v>
      </c>
    </row>
    <row r="4" spans="1:5" ht="16.5">
      <c r="A4" s="43">
        <v>2</v>
      </c>
      <c r="B4" s="44" t="s">
        <v>7</v>
      </c>
      <c r="C4" s="45" t="s">
        <v>8</v>
      </c>
      <c r="D4" s="45" t="s">
        <v>9</v>
      </c>
      <c r="E4" s="97" t="s">
        <v>80</v>
      </c>
    </row>
    <row r="5" spans="1:5" ht="16.5">
      <c r="A5" s="43">
        <v>3</v>
      </c>
      <c r="B5" s="44" t="s">
        <v>10</v>
      </c>
      <c r="C5" s="45" t="s">
        <v>11</v>
      </c>
      <c r="D5" s="45" t="s">
        <v>12</v>
      </c>
      <c r="E5" s="97" t="s">
        <v>81</v>
      </c>
    </row>
    <row r="6" spans="1:5" ht="27">
      <c r="A6" s="43">
        <v>4</v>
      </c>
      <c r="B6" s="44" t="s">
        <v>13</v>
      </c>
      <c r="C6" s="45" t="s">
        <v>14</v>
      </c>
      <c r="D6" s="45" t="s">
        <v>15</v>
      </c>
      <c r="E6" s="97" t="s">
        <v>82</v>
      </c>
    </row>
    <row r="7" spans="1:5" ht="16.5">
      <c r="A7" s="43">
        <v>5</v>
      </c>
      <c r="B7" s="44" t="s">
        <v>16</v>
      </c>
      <c r="C7" s="45" t="s">
        <v>17</v>
      </c>
      <c r="D7" s="45" t="s">
        <v>18</v>
      </c>
      <c r="E7" s="97" t="s">
        <v>83</v>
      </c>
    </row>
    <row r="8" spans="1:5" ht="16.5">
      <c r="A8" s="43">
        <v>6</v>
      </c>
      <c r="B8" s="90" t="s">
        <v>71</v>
      </c>
      <c r="C8" s="91" t="s">
        <v>68</v>
      </c>
      <c r="D8" s="91" t="s">
        <v>72</v>
      </c>
      <c r="E8" s="97" t="s">
        <v>79</v>
      </c>
    </row>
    <row r="9" spans="1:5" ht="16.5">
      <c r="A9" s="43">
        <v>7</v>
      </c>
      <c r="B9" s="90" t="s">
        <v>73</v>
      </c>
      <c r="C9" s="91" t="s">
        <v>74</v>
      </c>
      <c r="D9" s="91" t="s">
        <v>75</v>
      </c>
      <c r="E9" s="97" t="s">
        <v>78</v>
      </c>
    </row>
    <row r="10" spans="1:5" ht="16.5">
      <c r="A10" s="43">
        <v>8</v>
      </c>
      <c r="B10" s="90" t="s">
        <v>69</v>
      </c>
      <c r="C10" s="91" t="s">
        <v>68</v>
      </c>
      <c r="D10" s="91" t="s">
        <v>70</v>
      </c>
      <c r="E10" s="97" t="s">
        <v>77</v>
      </c>
    </row>
    <row r="11" spans="1:5">
      <c r="A11" s="43"/>
      <c r="E11" s="43"/>
    </row>
    <row r="12" spans="1:5" ht="16.5">
      <c r="A12" s="43"/>
      <c r="B12" s="44"/>
      <c r="C12" s="45"/>
      <c r="D12" s="45"/>
      <c r="E12" s="43"/>
    </row>
    <row r="13" spans="1:5" ht="16.5">
      <c r="A13" s="43"/>
      <c r="B13" s="44"/>
      <c r="C13" s="45"/>
      <c r="D13" s="46"/>
      <c r="E13" s="43"/>
    </row>
    <row r="14" spans="1:5" ht="16.5">
      <c r="A14" s="43"/>
      <c r="B14" s="44"/>
      <c r="C14" s="45"/>
      <c r="D14" s="46"/>
      <c r="E14" s="43"/>
    </row>
    <row r="15" spans="1:5" ht="16.5">
      <c r="A15" s="43"/>
      <c r="B15" s="44"/>
      <c r="C15" s="45"/>
      <c r="D15" s="45"/>
      <c r="E15" s="43"/>
    </row>
    <row r="16" spans="1:5" ht="15">
      <c r="A16" s="43"/>
      <c r="B16" s="47"/>
      <c r="C16" s="48"/>
      <c r="D16" s="48"/>
      <c r="E16" s="43"/>
    </row>
    <row r="17" spans="1:5" ht="16.5">
      <c r="A17" s="43"/>
      <c r="B17" s="49"/>
      <c r="C17" s="49"/>
      <c r="D17" s="49"/>
      <c r="E17" s="43"/>
    </row>
    <row r="18" spans="1:5" ht="16.5">
      <c r="A18" s="43"/>
      <c r="B18" s="49"/>
      <c r="C18" s="49"/>
      <c r="D18" s="49"/>
      <c r="E18" s="43"/>
    </row>
    <row r="19" spans="1:5" ht="16.5">
      <c r="A19" s="43"/>
      <c r="B19" s="49"/>
      <c r="C19" s="49"/>
      <c r="D19" s="49"/>
      <c r="E19" s="43"/>
    </row>
    <row r="20" spans="1:5" ht="16.5">
      <c r="A20" s="43"/>
      <c r="B20" s="50"/>
      <c r="C20" s="49"/>
      <c r="D20" s="49"/>
      <c r="E20" s="43"/>
    </row>
    <row r="21" spans="1:5" ht="16.5">
      <c r="A21" s="43"/>
      <c r="B21" s="49"/>
      <c r="C21" s="49"/>
      <c r="D21" s="49"/>
      <c r="E21" s="43"/>
    </row>
    <row r="22" spans="1:5" ht="16.5">
      <c r="A22" s="43"/>
      <c r="B22" s="49"/>
      <c r="C22" s="49"/>
      <c r="D22" s="49"/>
      <c r="E22" s="43"/>
    </row>
    <row r="23" spans="1:5" ht="16.5">
      <c r="A23" s="43"/>
      <c r="B23" s="49"/>
      <c r="C23" s="49"/>
      <c r="D23" s="49"/>
      <c r="E23" s="43"/>
    </row>
    <row r="24" spans="1:5" ht="16.5">
      <c r="A24" s="43"/>
      <c r="B24" s="49"/>
      <c r="C24" s="49"/>
      <c r="D24" s="49"/>
      <c r="E24" s="43"/>
    </row>
    <row r="25" spans="1:5" ht="16.5">
      <c r="A25" s="43"/>
      <c r="B25" s="49"/>
      <c r="C25" s="49"/>
      <c r="D25" s="49"/>
      <c r="E25" s="43"/>
    </row>
    <row r="26" spans="1:5" ht="16.5">
      <c r="A26" s="43"/>
      <c r="B26" s="51"/>
      <c r="C26" s="49"/>
      <c r="D26" s="52"/>
      <c r="E26" s="43"/>
    </row>
    <row r="27" spans="1:5" ht="16.5">
      <c r="A27" s="43"/>
      <c r="B27" s="49"/>
      <c r="C27" s="49"/>
      <c r="D27" s="49"/>
      <c r="E27" s="43"/>
    </row>
    <row r="28" spans="1:5" ht="16.5">
      <c r="A28" s="43"/>
      <c r="B28" s="49"/>
      <c r="C28" s="49"/>
      <c r="D28" s="49"/>
      <c r="E28" s="43"/>
    </row>
    <row r="29" spans="1:5" ht="16.5">
      <c r="A29" s="43"/>
      <c r="B29" s="49"/>
      <c r="C29" s="49"/>
      <c r="D29" s="49"/>
      <c r="E29" s="43"/>
    </row>
    <row r="30" spans="1:5" ht="16.5">
      <c r="A30" s="43"/>
      <c r="B30" s="49"/>
      <c r="C30" s="49"/>
      <c r="D30" s="49"/>
      <c r="E30" s="43"/>
    </row>
    <row r="31" spans="1:5" ht="16.5">
      <c r="A31" s="43"/>
      <c r="B31" s="49"/>
      <c r="C31" s="49"/>
      <c r="D31" s="49"/>
      <c r="E31" s="43"/>
    </row>
    <row r="32" spans="1:5" ht="16.5">
      <c r="A32" s="43"/>
      <c r="B32" s="49"/>
      <c r="C32" s="49"/>
      <c r="D32" s="49"/>
      <c r="E32" s="43"/>
    </row>
    <row r="33" spans="1:5" ht="16.5">
      <c r="A33" s="43"/>
      <c r="B33" s="49"/>
      <c r="C33" s="49"/>
      <c r="D33" s="49"/>
      <c r="E33" s="43"/>
    </row>
    <row r="34" spans="1:5" ht="16.5">
      <c r="A34" s="43"/>
      <c r="B34" s="49"/>
      <c r="C34" s="49"/>
      <c r="D34" s="49"/>
      <c r="E34" s="43"/>
    </row>
    <row r="35" spans="1:5" ht="15">
      <c r="A35" s="43"/>
      <c r="B35" s="51"/>
      <c r="C35" s="52"/>
      <c r="D35" s="52"/>
      <c r="E35" s="43"/>
    </row>
    <row r="36" spans="1:5" ht="16.5">
      <c r="A36" s="43"/>
      <c r="B36" s="53"/>
      <c r="C36" s="49"/>
      <c r="D36" s="53"/>
      <c r="E36" s="43"/>
    </row>
    <row r="37" spans="1:5" ht="16.5">
      <c r="A37" s="43"/>
      <c r="B37" s="49"/>
      <c r="C37" s="49"/>
      <c r="D37" s="49"/>
      <c r="E37" s="43"/>
    </row>
    <row r="38" spans="1:5" ht="16.5">
      <c r="A38" s="43"/>
      <c r="B38" s="49"/>
      <c r="C38" s="49"/>
      <c r="D38" s="49"/>
      <c r="E38" s="43"/>
    </row>
    <row r="39" spans="1:5" ht="16.5">
      <c r="A39" s="43"/>
      <c r="B39" s="49"/>
      <c r="C39" s="49"/>
      <c r="D39" s="49"/>
      <c r="E39" s="43"/>
    </row>
    <row r="40" spans="1:5" ht="16.5">
      <c r="A40" s="43"/>
      <c r="B40" s="53"/>
      <c r="C40" s="49"/>
      <c r="D40" s="53"/>
      <c r="E40" s="43"/>
    </row>
    <row r="41" spans="1:5" ht="16.5">
      <c r="A41" s="43"/>
      <c r="B41" s="54"/>
      <c r="C41" s="55"/>
      <c r="D41" s="55"/>
      <c r="E41" s="43"/>
    </row>
    <row r="42" spans="1:5" ht="15">
      <c r="A42" s="43"/>
      <c r="B42" s="47"/>
      <c r="C42" s="56"/>
      <c r="D42" s="48"/>
      <c r="E42" s="43"/>
    </row>
    <row r="43" spans="1:5" ht="15">
      <c r="A43" s="43"/>
      <c r="B43" s="47"/>
      <c r="C43" s="56"/>
      <c r="D43" s="48"/>
      <c r="E43" s="43"/>
    </row>
    <row r="44" spans="1:5" ht="15">
      <c r="A44" s="43"/>
      <c r="B44" s="47"/>
      <c r="C44" s="56"/>
      <c r="D44" s="48"/>
      <c r="E44" s="43"/>
    </row>
    <row r="45" spans="1:5" ht="15">
      <c r="A45" s="43"/>
      <c r="B45" s="47"/>
      <c r="C45" s="56"/>
      <c r="D45" s="48"/>
      <c r="E45" s="43"/>
    </row>
    <row r="46" spans="1:5" ht="15">
      <c r="A46" s="43"/>
      <c r="B46" s="47"/>
      <c r="C46" s="56"/>
      <c r="D46" s="48"/>
      <c r="E46" s="43"/>
    </row>
    <row r="47" spans="1:5" ht="15">
      <c r="A47" s="43"/>
      <c r="B47" s="47"/>
      <c r="C47" s="48"/>
      <c r="D47" s="57"/>
      <c r="E47" s="43"/>
    </row>
    <row r="48" spans="1:5" ht="15">
      <c r="A48" s="43"/>
      <c r="B48" s="47"/>
      <c r="C48" s="56"/>
      <c r="D48" s="48"/>
      <c r="E48" s="43"/>
    </row>
    <row r="49" spans="1:5" ht="15">
      <c r="A49" s="43"/>
      <c r="B49" s="47"/>
      <c r="C49" s="56"/>
      <c r="D49" s="48"/>
      <c r="E49" s="43"/>
    </row>
    <row r="50" spans="1:5" ht="15">
      <c r="A50" s="43"/>
      <c r="B50" s="47"/>
      <c r="C50" s="56"/>
      <c r="D50" s="48"/>
      <c r="E50" s="43"/>
    </row>
    <row r="51" spans="1:5" ht="15">
      <c r="A51" s="43"/>
      <c r="B51" s="47"/>
      <c r="C51" s="56"/>
      <c r="D51" s="48"/>
      <c r="E51" s="43"/>
    </row>
    <row r="52" spans="1:5" ht="15">
      <c r="A52" s="43"/>
      <c r="B52" s="47"/>
      <c r="C52" s="56"/>
      <c r="D52" s="48"/>
      <c r="E52" s="43"/>
    </row>
    <row r="53" spans="1:5" ht="15">
      <c r="A53" s="43"/>
      <c r="B53" s="47"/>
      <c r="C53" s="56"/>
      <c r="D53" s="48"/>
      <c r="E53" s="43"/>
    </row>
    <row r="54" spans="1:5" ht="15">
      <c r="A54" s="43"/>
      <c r="B54" s="47"/>
      <c r="C54" s="56"/>
      <c r="D54" s="48"/>
      <c r="E54" s="43"/>
    </row>
    <row r="55" spans="1:5" ht="16.5">
      <c r="A55" s="43"/>
      <c r="B55" s="58"/>
      <c r="C55" s="59"/>
      <c r="D55" s="59"/>
      <c r="E55" s="43"/>
    </row>
    <row r="56" spans="1:5" ht="16.5">
      <c r="A56" s="43"/>
      <c r="B56" s="58"/>
      <c r="C56" s="59"/>
      <c r="D56" s="59"/>
      <c r="E56" s="43"/>
    </row>
    <row r="57" spans="1:5" ht="15">
      <c r="A57" s="43"/>
      <c r="B57" s="47"/>
      <c r="C57" s="56"/>
      <c r="D57" s="48"/>
      <c r="E57" s="43"/>
    </row>
    <row r="58" spans="1:5" ht="15">
      <c r="A58" s="43"/>
      <c r="B58" s="47"/>
      <c r="C58" s="56"/>
      <c r="D58" s="48"/>
      <c r="E58" s="43"/>
    </row>
    <row r="59" spans="1:5" ht="15">
      <c r="A59" s="43"/>
      <c r="B59" s="47"/>
      <c r="C59" s="60"/>
      <c r="D59" s="60"/>
      <c r="E59" s="43"/>
    </row>
    <row r="60" spans="1:5" ht="15">
      <c r="A60" s="43"/>
      <c r="B60" s="47"/>
      <c r="C60" s="56"/>
      <c r="D60" s="48"/>
      <c r="E60" s="43"/>
    </row>
    <row r="61" spans="1:5" ht="16.5">
      <c r="A61" s="43"/>
      <c r="B61" s="58"/>
      <c r="C61" s="60"/>
      <c r="D61" s="48"/>
      <c r="E61" s="43"/>
    </row>
    <row r="62" spans="1:5" ht="15">
      <c r="A62" s="43"/>
      <c r="B62" s="47"/>
      <c r="C62" s="56"/>
      <c r="D62" s="48"/>
      <c r="E62" s="43"/>
    </row>
    <row r="63" spans="1:5" ht="15">
      <c r="A63" s="43"/>
      <c r="B63" s="47"/>
      <c r="C63" s="56"/>
      <c r="D63" s="48"/>
      <c r="E63" s="43"/>
    </row>
    <row r="64" spans="1:5" ht="15">
      <c r="A64" s="43"/>
      <c r="B64" s="61"/>
      <c r="C64" s="48"/>
      <c r="D64" s="52"/>
      <c r="E64" s="43"/>
    </row>
    <row r="65" spans="1:5" ht="16.5">
      <c r="A65" s="43"/>
      <c r="B65" s="62"/>
      <c r="C65" s="50"/>
      <c r="D65" s="50"/>
      <c r="E65" s="43"/>
    </row>
    <row r="66" spans="1:5" ht="16.5">
      <c r="A66" s="43"/>
      <c r="B66" s="62"/>
      <c r="C66" s="50"/>
      <c r="D66" s="50"/>
      <c r="E66" s="43"/>
    </row>
    <row r="67" spans="1:5" ht="16.5">
      <c r="A67" s="43"/>
      <c r="B67" s="62"/>
      <c r="C67" s="49"/>
      <c r="D67" s="49"/>
      <c r="E67" s="43"/>
    </row>
    <row r="68" spans="1:5" ht="16.5">
      <c r="A68" s="43"/>
      <c r="B68" s="62"/>
      <c r="C68" s="49"/>
      <c r="D68" s="49"/>
      <c r="E68" s="43"/>
    </row>
    <row r="69" spans="1:5" ht="16.5">
      <c r="A69" s="43"/>
      <c r="B69" s="62"/>
      <c r="C69" s="49"/>
      <c r="D69" s="49"/>
      <c r="E69" s="43"/>
    </row>
    <row r="70" spans="1:5" ht="16.5">
      <c r="A70" s="43"/>
      <c r="B70" s="62"/>
      <c r="C70" s="53"/>
      <c r="D70" s="49"/>
      <c r="E70" s="43"/>
    </row>
    <row r="71" spans="1:5" ht="16.5">
      <c r="A71" s="43"/>
      <c r="B71" s="62"/>
      <c r="C71" s="49"/>
      <c r="D71" s="63"/>
      <c r="E71" s="43"/>
    </row>
    <row r="72" spans="1:5" ht="16.5">
      <c r="A72" s="43"/>
      <c r="B72" s="62"/>
      <c r="C72" s="53"/>
      <c r="D72" s="49"/>
      <c r="E72" s="43"/>
    </row>
    <row r="73" spans="1:5" ht="16.5">
      <c r="A73" s="43"/>
      <c r="B73" s="62"/>
      <c r="C73" s="50"/>
      <c r="D73" s="50"/>
      <c r="E73" s="43"/>
    </row>
    <row r="74" spans="1:5" ht="16.5">
      <c r="A74" s="43"/>
      <c r="B74" s="62"/>
      <c r="C74" s="49"/>
      <c r="D74" s="49"/>
      <c r="E74" s="43"/>
    </row>
    <row r="75" spans="1:5" ht="16.5">
      <c r="A75" s="43"/>
      <c r="B75" s="64"/>
      <c r="C75" s="50"/>
      <c r="D75" s="63"/>
      <c r="E75" s="43"/>
    </row>
    <row r="76" spans="1:5" ht="16.5">
      <c r="A76" s="43"/>
      <c r="B76" s="62"/>
      <c r="C76" s="49"/>
      <c r="D76" s="49"/>
      <c r="E76" s="43"/>
    </row>
    <row r="77" spans="1:5" ht="16.5">
      <c r="A77" s="43"/>
      <c r="B77" s="62"/>
      <c r="C77" s="53"/>
      <c r="D77" s="49"/>
      <c r="E77" s="43"/>
    </row>
    <row r="78" spans="1:5" ht="16.5">
      <c r="A78" s="43"/>
      <c r="B78" s="62"/>
      <c r="C78" s="53"/>
      <c r="D78" s="49"/>
      <c r="E78" s="43"/>
    </row>
    <row r="79" spans="1:5" ht="16.5">
      <c r="A79" s="43"/>
      <c r="B79" s="62"/>
      <c r="C79" s="49"/>
      <c r="D79" s="53"/>
      <c r="E79" s="43"/>
    </row>
    <row r="80" spans="1:5" ht="16.5">
      <c r="A80" s="43"/>
      <c r="B80" s="62"/>
      <c r="C80" s="53"/>
      <c r="D80" s="49"/>
      <c r="E80" s="43"/>
    </row>
    <row r="81" spans="1:5" ht="16.5">
      <c r="A81" s="43"/>
      <c r="B81" s="62"/>
      <c r="C81" s="49"/>
      <c r="D81" s="53"/>
      <c r="E81" s="43"/>
    </row>
    <row r="82" spans="1:5" ht="16.5">
      <c r="A82" s="43"/>
      <c r="B82" s="65"/>
      <c r="C82" s="66"/>
      <c r="D82" s="66"/>
      <c r="E82" s="43"/>
    </row>
    <row r="83" spans="1:5">
      <c r="A83" s="43"/>
      <c r="B83" s="67"/>
      <c r="C83" s="67"/>
      <c r="D83" s="67"/>
      <c r="E83" s="43"/>
    </row>
    <row r="84" spans="1:5">
      <c r="A84" s="43"/>
      <c r="B84" s="67"/>
      <c r="C84" s="67"/>
      <c r="D84" s="67"/>
      <c r="E84" s="43"/>
    </row>
    <row r="85" spans="1:5" ht="16.5">
      <c r="A85" s="43"/>
      <c r="B85" s="68"/>
      <c r="C85" s="49"/>
      <c r="D85" s="49"/>
      <c r="E85" s="43"/>
    </row>
    <row r="86" spans="1:5" ht="16.5">
      <c r="A86" s="43"/>
      <c r="B86" s="49"/>
      <c r="C86" s="49"/>
      <c r="D86" s="49"/>
      <c r="E86" s="43"/>
    </row>
    <row r="87" spans="1:5" ht="16.5">
      <c r="A87" s="43"/>
      <c r="B87" s="69"/>
      <c r="C87" s="70"/>
      <c r="D87" s="49"/>
      <c r="E87" s="43"/>
    </row>
    <row r="88" spans="1:5" ht="16.5">
      <c r="A88" s="43"/>
      <c r="B88" s="71"/>
      <c r="C88" s="72"/>
      <c r="D88" s="71"/>
      <c r="E88" s="43"/>
    </row>
    <row r="89" spans="1:5" ht="16.5">
      <c r="A89" s="43"/>
      <c r="B89" s="71"/>
      <c r="C89" s="72"/>
      <c r="D89" s="71"/>
      <c r="E89" s="43"/>
    </row>
    <row r="90" spans="1:5" ht="16.5">
      <c r="A90" s="43"/>
      <c r="B90" s="49"/>
      <c r="C90" s="49"/>
      <c r="D90" s="49"/>
      <c r="E90" s="43"/>
    </row>
    <row r="91" spans="1:5" ht="16.5">
      <c r="A91" s="43"/>
      <c r="B91" s="53"/>
      <c r="C91" s="49"/>
      <c r="D91" s="53"/>
      <c r="E91" s="43"/>
    </row>
    <row r="92" spans="1:5" ht="16.5">
      <c r="A92" s="43"/>
      <c r="B92" s="69"/>
      <c r="C92" s="70"/>
      <c r="D92" s="49"/>
      <c r="E92" s="43"/>
    </row>
    <row r="93" spans="1:5" ht="16.5">
      <c r="A93" s="43"/>
      <c r="B93" s="53"/>
      <c r="C93" s="49"/>
      <c r="D93" s="53"/>
      <c r="E93" s="43"/>
    </row>
    <row r="94" spans="1:5" ht="16.5">
      <c r="A94" s="43"/>
      <c r="B94" s="68"/>
      <c r="C94" s="49"/>
      <c r="D94" s="49"/>
      <c r="E94" s="43"/>
    </row>
    <row r="95" spans="1:5" ht="16.5">
      <c r="A95" s="43"/>
      <c r="B95" s="73"/>
      <c r="C95" s="74"/>
      <c r="D95" s="74"/>
      <c r="E95" s="43"/>
    </row>
    <row r="96" spans="1:5" ht="16.5">
      <c r="A96" s="43"/>
      <c r="B96" s="62"/>
      <c r="C96" s="49"/>
      <c r="D96" s="53"/>
      <c r="E96" s="43"/>
    </row>
    <row r="97" spans="1:5" ht="16.5">
      <c r="A97" s="43"/>
      <c r="B97" s="62"/>
      <c r="C97" s="49"/>
      <c r="D97" s="53"/>
      <c r="E97" s="43"/>
    </row>
    <row r="98" spans="1:5" ht="16.5">
      <c r="A98" s="43"/>
      <c r="B98" s="68"/>
      <c r="C98" s="49"/>
      <c r="D98" s="49"/>
      <c r="E98" s="43"/>
    </row>
    <row r="99" spans="1:5" ht="16.5">
      <c r="A99" s="43"/>
      <c r="B99" s="68"/>
      <c r="C99" s="49"/>
      <c r="D99" s="49"/>
      <c r="E99" s="43"/>
    </row>
    <row r="100" spans="1:5" ht="16.5">
      <c r="A100" s="43"/>
      <c r="B100" s="68"/>
      <c r="C100" s="49"/>
      <c r="D100" s="49"/>
      <c r="E100" s="43"/>
    </row>
    <row r="101" spans="1:5" ht="16.5">
      <c r="A101" s="43"/>
      <c r="B101" s="68"/>
      <c r="C101" s="49"/>
      <c r="D101" s="49"/>
      <c r="E101" s="43"/>
    </row>
    <row r="102" spans="1:5" ht="16.5">
      <c r="A102" s="43"/>
      <c r="B102" s="68"/>
      <c r="C102" s="49"/>
      <c r="D102" s="49"/>
      <c r="E102" s="43"/>
    </row>
    <row r="103" spans="1:5" ht="16.5">
      <c r="A103" s="43"/>
      <c r="B103" s="73"/>
      <c r="C103" s="74"/>
      <c r="D103" s="74"/>
      <c r="E103" s="43"/>
    </row>
    <row r="104" spans="1:5" ht="16.5">
      <c r="A104" s="43"/>
      <c r="B104" s="50"/>
      <c r="C104" s="49"/>
      <c r="D104" s="53"/>
      <c r="E104" s="43"/>
    </row>
    <row r="105" spans="1:5" ht="16.5">
      <c r="A105" s="43"/>
      <c r="B105" s="62"/>
      <c r="C105" s="49"/>
      <c r="D105" s="75"/>
      <c r="E105" s="43"/>
    </row>
    <row r="106" spans="1:5" ht="16.5">
      <c r="A106" s="43"/>
      <c r="B106" s="50"/>
      <c r="C106" s="49"/>
      <c r="D106" s="53"/>
      <c r="E106" s="43"/>
    </row>
    <row r="107" spans="1:5" ht="16.5">
      <c r="A107" s="43"/>
      <c r="B107" s="62"/>
      <c r="C107" s="49"/>
      <c r="D107" s="75"/>
      <c r="E107" s="43"/>
    </row>
    <row r="108" spans="1:5" ht="16.5">
      <c r="A108" s="43"/>
      <c r="B108" s="50"/>
      <c r="C108" s="49"/>
      <c r="D108" s="53"/>
      <c r="E108" s="43"/>
    </row>
    <row r="109" spans="1:5" ht="16.5">
      <c r="A109" s="43"/>
      <c r="B109" s="71"/>
      <c r="C109" s="72"/>
      <c r="D109" s="71"/>
      <c r="E109" s="43"/>
    </row>
    <row r="110" spans="1:5" ht="16.5">
      <c r="A110" s="43"/>
      <c r="B110" s="50"/>
      <c r="C110" s="49"/>
      <c r="D110" s="53"/>
      <c r="E110" s="43"/>
    </row>
    <row r="111" spans="1:5" ht="16.5">
      <c r="A111" s="43"/>
      <c r="B111" s="71"/>
      <c r="C111" s="72"/>
      <c r="D111" s="71"/>
      <c r="E111" s="43"/>
    </row>
    <row r="112" spans="1:5" ht="16.5">
      <c r="A112" s="43"/>
      <c r="B112" s="50"/>
      <c r="C112" s="49"/>
      <c r="D112" s="75"/>
      <c r="E112" s="43"/>
    </row>
    <row r="113" spans="1:5" ht="16.5">
      <c r="A113" s="43"/>
      <c r="B113" s="68"/>
      <c r="C113" s="49"/>
      <c r="D113" s="49"/>
      <c r="E113" s="43"/>
    </row>
    <row r="114" spans="1:5" ht="16.5">
      <c r="A114" s="43"/>
      <c r="B114" s="68"/>
      <c r="C114" s="49"/>
      <c r="D114" s="49"/>
      <c r="E114" s="43"/>
    </row>
    <row r="115" spans="1:5" ht="16.5">
      <c r="A115" s="43"/>
      <c r="B115" s="68"/>
      <c r="C115" s="49"/>
      <c r="D115" s="49"/>
      <c r="E115" s="43"/>
    </row>
    <row r="116" spans="1:5" ht="16.5">
      <c r="A116" s="43"/>
      <c r="B116" s="73"/>
      <c r="C116" s="74"/>
      <c r="D116" s="74"/>
      <c r="E116" s="43"/>
    </row>
    <row r="117" spans="1:5" ht="16.5">
      <c r="A117" s="43"/>
      <c r="B117" s="62"/>
      <c r="C117" s="74"/>
      <c r="D117" s="49"/>
      <c r="E117" s="43"/>
    </row>
    <row r="118" spans="1:5" ht="16.5">
      <c r="A118" s="43"/>
      <c r="B118" s="73"/>
      <c r="C118" s="74"/>
      <c r="D118" s="74"/>
      <c r="E118" s="43"/>
    </row>
    <row r="119" spans="1:5" ht="16.5">
      <c r="A119" s="43"/>
      <c r="B119" s="68"/>
      <c r="C119" s="49"/>
      <c r="D119" s="74"/>
      <c r="E119" s="43"/>
    </row>
    <row r="120" spans="1:5" ht="16.5">
      <c r="A120" s="43"/>
      <c r="B120" s="71"/>
      <c r="C120" s="72"/>
      <c r="D120" s="71"/>
      <c r="E120" s="43"/>
    </row>
    <row r="121" spans="1:5" ht="16.5">
      <c r="A121" s="43"/>
      <c r="B121" s="71"/>
      <c r="C121" s="72"/>
      <c r="D121" s="71"/>
      <c r="E121" s="43"/>
    </row>
    <row r="122" spans="1:5" ht="16.5">
      <c r="A122" s="43"/>
      <c r="B122" s="49"/>
      <c r="C122" s="49"/>
      <c r="D122" s="49"/>
      <c r="E122" s="43"/>
    </row>
    <row r="123" spans="1:5" ht="16.5">
      <c r="A123" s="43"/>
      <c r="B123" s="71"/>
      <c r="C123" s="72"/>
      <c r="D123" s="71"/>
      <c r="E123" s="43"/>
    </row>
    <row r="124" spans="1:5" ht="16.5">
      <c r="A124" s="43"/>
      <c r="B124" s="53"/>
      <c r="C124" s="49"/>
      <c r="D124" s="53"/>
      <c r="E124" s="43"/>
    </row>
    <row r="125" spans="1:5" ht="16.5">
      <c r="A125" s="43"/>
      <c r="B125" s="50"/>
      <c r="C125" s="50"/>
      <c r="D125" s="50"/>
      <c r="E125" s="43"/>
    </row>
    <row r="126" spans="1:5" ht="16.5">
      <c r="A126" s="43"/>
      <c r="B126" s="69"/>
      <c r="C126" s="70"/>
      <c r="D126" s="49"/>
      <c r="E126" s="43"/>
    </row>
    <row r="127" spans="1:5" ht="16.5">
      <c r="A127" s="43"/>
      <c r="B127" s="69"/>
      <c r="C127" s="66"/>
      <c r="D127" s="69"/>
      <c r="E127" s="43"/>
    </row>
    <row r="128" spans="1:5" ht="16.5">
      <c r="A128" s="43"/>
      <c r="B128" s="69"/>
      <c r="C128" s="66"/>
      <c r="D128" s="69"/>
      <c r="E128" s="43"/>
    </row>
    <row r="129" spans="1:5" ht="16.5">
      <c r="A129" s="43"/>
      <c r="B129" s="71"/>
      <c r="C129" s="72"/>
      <c r="D129" s="71"/>
      <c r="E129" s="43"/>
    </row>
    <row r="130" spans="1:5" ht="16.5">
      <c r="A130" s="43"/>
      <c r="B130" s="71"/>
      <c r="C130" s="72"/>
      <c r="D130" s="71"/>
      <c r="E130" s="43"/>
    </row>
    <row r="131" spans="1:5" ht="16.5">
      <c r="A131" s="43"/>
      <c r="B131" s="76"/>
      <c r="C131" s="72"/>
      <c r="D131" s="71"/>
      <c r="E131" s="43"/>
    </row>
    <row r="132" spans="1:5" ht="16.5">
      <c r="A132" s="43"/>
      <c r="B132" s="53"/>
      <c r="C132" s="49"/>
      <c r="D132" s="53"/>
      <c r="E132" s="43"/>
    </row>
    <row r="133" spans="1:5" ht="16.5">
      <c r="A133" s="43"/>
      <c r="B133" s="53"/>
      <c r="C133" s="49"/>
      <c r="D133" s="53"/>
      <c r="E133" s="43"/>
    </row>
    <row r="134" spans="1:5" ht="16.5">
      <c r="A134" s="43"/>
      <c r="B134" s="53"/>
      <c r="C134" s="49"/>
      <c r="D134" s="53"/>
      <c r="E134" s="43"/>
    </row>
    <row r="135" spans="1:5" ht="16.5">
      <c r="A135" s="43"/>
      <c r="B135" s="53"/>
      <c r="C135" s="49"/>
      <c r="D135" s="53"/>
      <c r="E135" s="43"/>
    </row>
    <row r="136" spans="1:5" ht="16.5">
      <c r="A136" s="43"/>
      <c r="B136" s="53"/>
      <c r="C136" s="49"/>
      <c r="D136" s="53"/>
      <c r="E136" s="43"/>
    </row>
    <row r="137" spans="1:5" ht="16.5">
      <c r="A137" s="43"/>
      <c r="B137" s="53"/>
      <c r="C137" s="49"/>
      <c r="D137" s="53"/>
      <c r="E137" s="43"/>
    </row>
    <row r="138" spans="1:5" ht="16.5">
      <c r="A138" s="43"/>
      <c r="B138" s="53"/>
      <c r="C138" s="49"/>
      <c r="D138" s="53"/>
      <c r="E138" s="43"/>
    </row>
    <row r="139" spans="1:5" ht="16.5">
      <c r="A139" s="43"/>
      <c r="B139" s="53"/>
      <c r="C139" s="49"/>
      <c r="D139" s="53"/>
      <c r="E139" s="43"/>
    </row>
    <row r="140" spans="1:5" ht="16.5">
      <c r="A140" s="43"/>
      <c r="B140" s="53"/>
      <c r="C140" s="49"/>
      <c r="D140" s="53"/>
      <c r="E140" s="43"/>
    </row>
    <row r="141" spans="1:5" ht="16.5">
      <c r="A141" s="43"/>
      <c r="B141" s="53"/>
      <c r="C141" s="49"/>
      <c r="D141" s="53"/>
      <c r="E141" s="43"/>
    </row>
    <row r="142" spans="1:5" ht="16.5">
      <c r="A142" s="43"/>
      <c r="B142" s="53"/>
      <c r="C142" s="49"/>
      <c r="D142" s="53"/>
      <c r="E142" s="43"/>
    </row>
    <row r="143" spans="1:5" ht="16.5">
      <c r="A143" s="43"/>
      <c r="B143" s="53"/>
      <c r="C143" s="49"/>
      <c r="D143" s="53"/>
      <c r="E143" s="43"/>
    </row>
    <row r="144" spans="1:5" ht="16.5">
      <c r="A144" s="43"/>
      <c r="B144" s="76"/>
      <c r="C144" s="72"/>
      <c r="D144" s="71"/>
      <c r="E144" s="43"/>
    </row>
    <row r="145" spans="1:5" ht="15">
      <c r="A145" s="43"/>
      <c r="B145" s="77"/>
      <c r="C145" s="77"/>
      <c r="D145" s="77"/>
      <c r="E145" s="43"/>
    </row>
    <row r="146" spans="1:5" ht="15">
      <c r="A146" s="43"/>
      <c r="B146" s="78"/>
      <c r="C146" s="77"/>
      <c r="D146" s="77"/>
      <c r="E146" s="43"/>
    </row>
    <row r="147" spans="1:5" ht="15">
      <c r="A147" s="43"/>
      <c r="B147" s="78"/>
      <c r="C147" s="77"/>
      <c r="D147" s="77"/>
      <c r="E147" s="43"/>
    </row>
    <row r="148" spans="1:5" ht="15">
      <c r="A148" s="43"/>
      <c r="B148" s="77"/>
      <c r="C148" s="77"/>
      <c r="D148" s="77"/>
      <c r="E148" s="43"/>
    </row>
    <row r="149" spans="1:5" ht="15">
      <c r="A149" s="43"/>
      <c r="B149" s="77"/>
      <c r="C149" s="77"/>
      <c r="D149" s="77"/>
      <c r="E149" s="43"/>
    </row>
    <row r="150" spans="1:5" ht="15">
      <c r="A150" s="43"/>
      <c r="B150" s="78"/>
      <c r="C150" s="77"/>
      <c r="D150" s="77"/>
      <c r="E150" s="43"/>
    </row>
    <row r="151" spans="1:5" ht="15">
      <c r="A151" s="43"/>
      <c r="B151" s="77"/>
      <c r="C151" s="77"/>
      <c r="D151" s="77"/>
      <c r="E151" s="43"/>
    </row>
    <row r="152" spans="1:5" ht="15">
      <c r="A152" s="43"/>
      <c r="B152" s="77"/>
      <c r="C152" s="77"/>
      <c r="D152" s="77"/>
      <c r="E152" s="43"/>
    </row>
    <row r="153" spans="1:5" ht="15">
      <c r="A153" s="43"/>
      <c r="B153" s="77"/>
      <c r="C153" s="77"/>
      <c r="D153" s="77"/>
      <c r="E153" s="43"/>
    </row>
    <row r="154" spans="1:5" ht="15">
      <c r="A154" s="43"/>
      <c r="B154" s="79"/>
      <c r="C154" s="79"/>
      <c r="D154" s="79"/>
      <c r="E154" s="43"/>
    </row>
    <row r="155" spans="1:5" ht="15">
      <c r="A155" s="43"/>
      <c r="B155" s="80"/>
      <c r="C155" s="80"/>
      <c r="D155" s="80"/>
      <c r="E155" s="43"/>
    </row>
    <row r="156" spans="1:5" ht="15">
      <c r="A156" s="43"/>
      <c r="B156" s="77"/>
      <c r="C156" s="77"/>
      <c r="D156" s="77"/>
      <c r="E156" s="43"/>
    </row>
    <row r="157" spans="1:5" ht="15">
      <c r="A157" s="43"/>
      <c r="B157" s="77"/>
      <c r="C157" s="77"/>
      <c r="D157" s="77"/>
      <c r="E157" s="43"/>
    </row>
    <row r="158" spans="1:5" ht="15">
      <c r="A158" s="43"/>
      <c r="B158" s="77"/>
      <c r="C158" s="77"/>
      <c r="D158" s="77"/>
      <c r="E158" s="43"/>
    </row>
    <row r="159" spans="1:5" ht="15">
      <c r="A159" s="43"/>
      <c r="B159" s="79"/>
      <c r="C159" s="79"/>
      <c r="D159" s="79"/>
      <c r="E159" s="43"/>
    </row>
    <row r="160" spans="1:5" ht="15">
      <c r="A160" s="43"/>
      <c r="B160" s="77"/>
      <c r="C160" s="77"/>
      <c r="D160" s="77"/>
      <c r="E160" s="43"/>
    </row>
    <row r="161" spans="1:5" ht="15">
      <c r="A161" s="43"/>
      <c r="B161" s="77"/>
      <c r="C161" s="77"/>
      <c r="D161" s="77"/>
      <c r="E161" s="43"/>
    </row>
    <row r="162" spans="1:5" ht="15">
      <c r="A162" s="43"/>
      <c r="B162" s="77"/>
      <c r="C162" s="77"/>
      <c r="D162" s="77"/>
      <c r="E162" s="43"/>
    </row>
    <row r="163" spans="1:5" ht="15">
      <c r="A163" s="43"/>
      <c r="B163" s="77"/>
      <c r="C163" s="77"/>
      <c r="D163" s="77"/>
      <c r="E163" s="43"/>
    </row>
    <row r="164" spans="1:5" ht="15">
      <c r="A164" s="43"/>
      <c r="B164" s="77"/>
      <c r="C164" s="77"/>
      <c r="D164" s="77"/>
      <c r="E164" s="43"/>
    </row>
    <row r="165" spans="1:5" ht="15">
      <c r="A165" s="43"/>
      <c r="B165" s="77"/>
      <c r="C165" s="77"/>
      <c r="D165" s="77"/>
      <c r="E165" s="43"/>
    </row>
    <row r="166" spans="1:5" ht="15">
      <c r="A166" s="43"/>
      <c r="B166" s="77"/>
      <c r="C166" s="77"/>
      <c r="D166" s="77"/>
      <c r="E166" s="43"/>
    </row>
    <row r="167" spans="1:5" ht="16.5">
      <c r="A167" s="43"/>
      <c r="B167" s="62"/>
      <c r="C167" s="81"/>
      <c r="D167" s="75"/>
      <c r="E167" s="43"/>
    </row>
    <row r="168" spans="1:5" ht="16.5">
      <c r="A168" s="43"/>
      <c r="B168" s="73"/>
      <c r="C168" s="74"/>
      <c r="D168" s="74"/>
      <c r="E168" s="43"/>
    </row>
    <row r="169" spans="1:5" ht="16.5">
      <c r="A169" s="43"/>
      <c r="B169" s="68"/>
      <c r="C169" s="49"/>
      <c r="D169" s="49"/>
      <c r="E169" s="43"/>
    </row>
    <row r="170" spans="1:5" ht="16.5">
      <c r="A170" s="43"/>
      <c r="B170" s="68"/>
      <c r="C170" s="49"/>
      <c r="D170" s="49"/>
      <c r="E170" s="43"/>
    </row>
    <row r="171" spans="1:5" ht="16.5">
      <c r="A171" s="43"/>
      <c r="B171" s="62"/>
      <c r="C171" s="49"/>
      <c r="D171" s="49"/>
      <c r="E171" s="43"/>
    </row>
    <row r="172" spans="1:5" ht="16.5">
      <c r="A172" s="43"/>
      <c r="B172" s="73"/>
      <c r="C172" s="74"/>
      <c r="D172" s="74"/>
      <c r="E172" s="43"/>
    </row>
    <row r="173" spans="1:5" ht="16.5">
      <c r="A173" s="43"/>
      <c r="B173" s="62"/>
      <c r="C173" s="49"/>
      <c r="D173" s="49"/>
      <c r="E173" s="43"/>
    </row>
    <row r="174" spans="1:5" ht="16.5">
      <c r="A174" s="43"/>
      <c r="B174" s="64"/>
      <c r="C174" s="50"/>
      <c r="D174" s="63"/>
      <c r="E174" s="43"/>
    </row>
    <row r="175" spans="1:5" ht="16.5">
      <c r="A175" s="43"/>
      <c r="B175" s="64"/>
      <c r="C175" s="50"/>
      <c r="D175" s="50"/>
      <c r="E175" s="43"/>
    </row>
    <row r="176" spans="1:5" ht="16.5">
      <c r="A176" s="43"/>
      <c r="B176" s="64"/>
      <c r="C176" s="50"/>
      <c r="D176" s="63"/>
      <c r="E176" s="43"/>
    </row>
    <row r="177" spans="1:5" ht="16.5">
      <c r="A177" s="43"/>
      <c r="B177" s="82"/>
      <c r="C177" s="83"/>
      <c r="D177" s="84"/>
      <c r="E177" s="43"/>
    </row>
    <row r="178" spans="1:5" ht="16.5">
      <c r="A178" s="43"/>
      <c r="B178" s="64"/>
      <c r="C178" s="50"/>
      <c r="D178" s="63"/>
      <c r="E178" s="43"/>
    </row>
    <row r="179" spans="1:5" ht="16.5">
      <c r="A179" s="43"/>
      <c r="B179" s="64"/>
      <c r="C179" s="50"/>
      <c r="D179" s="63"/>
      <c r="E179" s="43"/>
    </row>
    <row r="180" spans="1:5" ht="16.5">
      <c r="A180" s="43"/>
      <c r="B180" s="64"/>
      <c r="C180" s="50"/>
      <c r="D180" s="63"/>
      <c r="E180" s="43"/>
    </row>
    <row r="181" spans="1:5" ht="16.5">
      <c r="A181" s="43"/>
      <c r="B181" s="64"/>
      <c r="C181" s="50"/>
      <c r="D181" s="50"/>
      <c r="E181" s="43"/>
    </row>
    <row r="182" spans="1:5" ht="16.5">
      <c r="A182" s="43"/>
      <c r="B182" s="64"/>
      <c r="C182" s="50"/>
      <c r="D182" s="50"/>
      <c r="E182" s="43"/>
    </row>
    <row r="183" spans="1:5" ht="16.5">
      <c r="A183" s="43"/>
      <c r="B183" s="62"/>
      <c r="C183" s="50"/>
      <c r="D183" s="50"/>
      <c r="E183" s="43"/>
    </row>
    <row r="184" spans="1:5" ht="16.5">
      <c r="A184" s="43"/>
      <c r="B184" s="64"/>
      <c r="C184" s="50"/>
      <c r="D184" s="63"/>
      <c r="E184" s="43"/>
    </row>
    <row r="185" spans="1:5" ht="16.5">
      <c r="A185" s="43"/>
      <c r="B185" s="64"/>
      <c r="C185" s="50"/>
      <c r="D185" s="63"/>
      <c r="E185" s="43"/>
    </row>
    <row r="186" spans="1:5" ht="16.5">
      <c r="A186" s="43"/>
      <c r="B186" s="64"/>
      <c r="C186" s="50"/>
      <c r="D186" s="63"/>
      <c r="E186" s="43"/>
    </row>
    <row r="187" spans="1:5" ht="16.5">
      <c r="A187" s="43"/>
      <c r="B187" s="64"/>
      <c r="C187" s="50"/>
      <c r="D187" s="63"/>
      <c r="E187" s="43"/>
    </row>
    <row r="188" spans="1:5" ht="16.5">
      <c r="A188" s="43"/>
      <c r="B188" s="62"/>
      <c r="C188" s="49"/>
      <c r="D188" s="74"/>
      <c r="E188" s="43"/>
    </row>
    <row r="189" spans="1:5" ht="16.5">
      <c r="A189" s="43"/>
      <c r="B189" s="68"/>
      <c r="C189" s="49"/>
      <c r="D189" s="49"/>
      <c r="E189" s="43"/>
    </row>
    <row r="190" spans="1:5" ht="16.5">
      <c r="A190" s="43"/>
      <c r="B190" s="68"/>
      <c r="C190" s="49"/>
      <c r="D190" s="49"/>
      <c r="E190" s="43"/>
    </row>
    <row r="191" spans="1:5" ht="16.5">
      <c r="A191" s="43"/>
      <c r="B191" s="62"/>
      <c r="C191" s="49"/>
      <c r="D191" s="49"/>
      <c r="E191" s="43"/>
    </row>
    <row r="192" spans="1:5" ht="16.5">
      <c r="A192" s="43"/>
      <c r="B192" s="62"/>
      <c r="C192" s="49"/>
      <c r="D192" s="49"/>
      <c r="E192" s="43"/>
    </row>
    <row r="193" spans="1:5" ht="16.5">
      <c r="A193" s="43"/>
      <c r="B193" s="76"/>
      <c r="C193" s="72"/>
      <c r="D193" s="71"/>
      <c r="E193" s="43"/>
    </row>
    <row r="194" spans="1:5" ht="16.5">
      <c r="A194" s="43"/>
      <c r="B194" s="68"/>
      <c r="C194" s="49"/>
      <c r="D194" s="49"/>
      <c r="E194" s="43"/>
    </row>
    <row r="195" spans="1:5" ht="16.5">
      <c r="A195" s="43"/>
      <c r="B195" s="68"/>
      <c r="C195" s="49"/>
      <c r="D195" s="49"/>
      <c r="E195" s="43"/>
    </row>
    <row r="196" spans="1:5" ht="16.5">
      <c r="A196" s="43"/>
      <c r="B196" s="68"/>
      <c r="C196" s="49"/>
      <c r="D196" s="49"/>
      <c r="E196" s="43"/>
    </row>
    <row r="197" spans="1:5" ht="16.5">
      <c r="A197" s="43"/>
      <c r="B197" s="73"/>
      <c r="C197" s="74"/>
      <c r="D197" s="74"/>
      <c r="E197" s="43"/>
    </row>
    <row r="198" spans="1:5" ht="16.5">
      <c r="A198" s="43"/>
      <c r="B198" s="73"/>
      <c r="C198" s="74"/>
      <c r="D198" s="74"/>
      <c r="E198" s="43"/>
    </row>
    <row r="199" spans="1:5" ht="16.5">
      <c r="A199" s="43"/>
      <c r="B199" s="73"/>
      <c r="C199" s="74"/>
      <c r="D199" s="74"/>
      <c r="E199" s="43"/>
    </row>
    <row r="200" spans="1:5" ht="16.5">
      <c r="A200" s="43"/>
      <c r="B200" s="85"/>
      <c r="C200" s="49"/>
      <c r="D200" s="49"/>
      <c r="E200" s="43"/>
    </row>
    <row r="201" spans="1:5" ht="16.5">
      <c r="A201" s="43"/>
      <c r="B201" s="85"/>
      <c r="C201" s="49"/>
      <c r="D201" s="49"/>
      <c r="E201" s="43"/>
    </row>
    <row r="202" spans="1:5" ht="16.5">
      <c r="A202" s="43"/>
      <c r="B202" s="68"/>
      <c r="C202" s="49"/>
      <c r="D202" s="49"/>
      <c r="E202" s="43"/>
    </row>
    <row r="203" spans="1:5" ht="16.5">
      <c r="A203" s="43"/>
      <c r="B203" s="73"/>
      <c r="C203" s="74"/>
      <c r="D203" s="74"/>
      <c r="E203" s="43"/>
    </row>
    <row r="204" spans="1:5" ht="16.5">
      <c r="A204" s="43"/>
      <c r="B204" s="73"/>
      <c r="C204" s="74"/>
      <c r="D204" s="74"/>
      <c r="E204" s="43"/>
    </row>
    <row r="205" spans="1:5" ht="16.5">
      <c r="A205" s="43"/>
      <c r="B205" s="86"/>
      <c r="C205" s="87"/>
      <c r="D205" s="88"/>
      <c r="E205" s="43"/>
    </row>
    <row r="206" spans="1:5" ht="16.5">
      <c r="A206" s="43"/>
      <c r="B206" s="85"/>
      <c r="C206" s="49"/>
      <c r="D206" s="49"/>
      <c r="E206" s="43"/>
    </row>
    <row r="207" spans="1:5" ht="16.5">
      <c r="A207" s="43"/>
      <c r="B207" s="62"/>
      <c r="C207" s="49"/>
      <c r="D207" s="49"/>
      <c r="E207" s="43"/>
    </row>
    <row r="208" spans="1:5" ht="16.5">
      <c r="A208" s="43"/>
      <c r="B208" s="62"/>
      <c r="C208" s="49"/>
      <c r="D208" s="49"/>
      <c r="E208" s="43"/>
    </row>
    <row r="209" spans="1:5" ht="16.5">
      <c r="A209" s="43"/>
      <c r="B209" s="73"/>
      <c r="C209" s="74"/>
      <c r="D209" s="74"/>
      <c r="E209" s="43"/>
    </row>
    <row r="210" spans="1:5" ht="16.5">
      <c r="A210" s="43"/>
      <c r="B210" s="68"/>
      <c r="C210" s="49"/>
      <c r="D210" s="49"/>
      <c r="E210" s="43"/>
    </row>
    <row r="211" spans="1:5" ht="16.5">
      <c r="A211" s="43"/>
      <c r="B211" s="68"/>
      <c r="C211" s="49"/>
      <c r="D211" s="49"/>
      <c r="E211" s="43"/>
    </row>
    <row r="212" spans="1:5" ht="16.5">
      <c r="A212" s="43"/>
      <c r="B212" s="68"/>
      <c r="C212" s="49"/>
      <c r="D212" s="49"/>
      <c r="E212" s="43"/>
    </row>
    <row r="213" spans="1:5" ht="16.5">
      <c r="A213" s="43"/>
      <c r="B213" s="68"/>
      <c r="C213" s="49"/>
      <c r="D213" s="49"/>
      <c r="E213" s="43"/>
    </row>
    <row r="214" spans="1:5" ht="16.5">
      <c r="A214" s="43"/>
      <c r="B214" s="68"/>
      <c r="C214" s="49"/>
      <c r="D214" s="49"/>
      <c r="E214" s="43"/>
    </row>
    <row r="215" spans="1:5" ht="16.5">
      <c r="A215" s="43"/>
      <c r="B215" s="68"/>
      <c r="C215" s="49"/>
      <c r="D215" s="49"/>
      <c r="E215" s="43"/>
    </row>
    <row r="216" spans="1:5" ht="16.5">
      <c r="A216" s="43"/>
      <c r="B216" s="68"/>
      <c r="C216" s="49"/>
      <c r="D216" s="49"/>
      <c r="E216" s="43"/>
    </row>
    <row r="217" spans="1:5" ht="16.5">
      <c r="A217" s="43"/>
      <c r="B217" s="76"/>
      <c r="C217" s="72"/>
      <c r="D217" s="71"/>
      <c r="E217" s="43"/>
    </row>
    <row r="218" spans="1:5" ht="16.5">
      <c r="A218" s="43"/>
      <c r="B218" s="68"/>
      <c r="C218" s="49"/>
      <c r="D218" s="49"/>
      <c r="E218" s="43"/>
    </row>
    <row r="219" spans="1:5" ht="16.5">
      <c r="A219" s="43"/>
      <c r="B219" s="68"/>
      <c r="C219" s="49"/>
      <c r="D219" s="49"/>
      <c r="E219" s="43"/>
    </row>
    <row r="220" spans="1:5" ht="16.5">
      <c r="A220" s="43"/>
      <c r="B220" s="76"/>
      <c r="C220" s="72"/>
      <c r="D220" s="71"/>
      <c r="E220" s="43"/>
    </row>
    <row r="221" spans="1:5" ht="16.5">
      <c r="A221" s="43"/>
      <c r="B221" s="73"/>
      <c r="C221" s="74"/>
      <c r="D221" s="74"/>
      <c r="E221" s="43"/>
    </row>
    <row r="222" spans="1:5" ht="16.5">
      <c r="A222" s="43"/>
      <c r="B222" s="73"/>
      <c r="C222" s="74"/>
      <c r="D222" s="74"/>
      <c r="E222" s="43"/>
    </row>
    <row r="223" spans="1:5" ht="16.5">
      <c r="A223" s="43"/>
      <c r="B223" s="73"/>
      <c r="C223" s="74"/>
      <c r="D223" s="74"/>
      <c r="E223" s="43"/>
    </row>
  </sheetData>
  <phoneticPr fontId="18" type="noConversion"/>
  <conditionalFormatting sqref="B21">
    <cfRule type="duplicateValues" dxfId="45" priority="15"/>
  </conditionalFormatting>
  <conditionalFormatting sqref="B38">
    <cfRule type="duplicateValues" dxfId="44" priority="1"/>
  </conditionalFormatting>
  <conditionalFormatting sqref="B64">
    <cfRule type="duplicateValues" dxfId="43" priority="4"/>
  </conditionalFormatting>
  <conditionalFormatting sqref="B77">
    <cfRule type="duplicateValues" dxfId="42" priority="31"/>
  </conditionalFormatting>
  <conditionalFormatting sqref="B94">
    <cfRule type="duplicateValues" dxfId="41" priority="10"/>
  </conditionalFormatting>
  <conditionalFormatting sqref="B123">
    <cfRule type="duplicateValues" dxfId="40" priority="19"/>
  </conditionalFormatting>
  <conditionalFormatting sqref="B144">
    <cfRule type="duplicateValues" dxfId="39" priority="18"/>
  </conditionalFormatting>
  <conditionalFormatting sqref="B173">
    <cfRule type="duplicateValues" dxfId="38" priority="42"/>
  </conditionalFormatting>
  <conditionalFormatting sqref="B174">
    <cfRule type="duplicateValues" dxfId="37" priority="36"/>
  </conditionalFormatting>
  <conditionalFormatting sqref="B175">
    <cfRule type="duplicateValues" dxfId="36" priority="35"/>
  </conditionalFormatting>
  <conditionalFormatting sqref="B176">
    <cfRule type="duplicateValues" dxfId="35" priority="37"/>
  </conditionalFormatting>
  <conditionalFormatting sqref="B183">
    <cfRule type="duplicateValues" dxfId="34" priority="32"/>
  </conditionalFormatting>
  <conditionalFormatting sqref="B187">
    <cfRule type="duplicateValues" dxfId="33" priority="29"/>
  </conditionalFormatting>
  <conditionalFormatting sqref="B205">
    <cfRule type="duplicateValues" dxfId="32" priority="5"/>
  </conditionalFormatting>
  <conditionalFormatting sqref="B206">
    <cfRule type="duplicateValues" dxfId="31" priority="8"/>
  </conditionalFormatting>
  <conditionalFormatting sqref="B3:B5">
    <cfRule type="duplicateValues" dxfId="30" priority="45"/>
  </conditionalFormatting>
  <conditionalFormatting sqref="B13:B14">
    <cfRule type="duplicateValues" dxfId="29" priority="43"/>
  </conditionalFormatting>
  <conditionalFormatting sqref="B134:B135">
    <cfRule type="duplicateValues" dxfId="28" priority="24"/>
  </conditionalFormatting>
  <conditionalFormatting sqref="B200:B201">
    <cfRule type="duplicateValues" dxfId="27" priority="9"/>
  </conditionalFormatting>
  <conditionalFormatting sqref="B221:B223">
    <cfRule type="duplicateValues" dxfId="26" priority="51"/>
  </conditionalFormatting>
  <conditionalFormatting sqref="B16 B41:B54 B57:B63">
    <cfRule type="duplicateValues" dxfId="25" priority="2"/>
  </conditionalFormatting>
  <conditionalFormatting sqref="B17:B18 B22:B25 B27:B34 B37 B39 B85 B98:B99 B115 B214:B216 B218:B219">
    <cfRule type="duplicateValues" dxfId="24" priority="16"/>
  </conditionalFormatting>
  <conditionalFormatting sqref="B19 B100 B188 B194 B211">
    <cfRule type="duplicateValues" dxfId="23" priority="14"/>
  </conditionalFormatting>
  <conditionalFormatting sqref="B20 B101:B102 B113:B114 B171 B191:B192 B207:B208 B210">
    <cfRule type="duplicateValues" dxfId="22" priority="7"/>
  </conditionalFormatting>
  <conditionalFormatting sqref="B26 B35">
    <cfRule type="duplicateValues" dxfId="21" priority="3"/>
  </conditionalFormatting>
  <conditionalFormatting sqref="B36 B93 B143">
    <cfRule type="duplicateValues" dxfId="20" priority="26"/>
  </conditionalFormatting>
  <conditionalFormatting sqref="B40 B91 B132 B137 B139:B140">
    <cfRule type="duplicateValues" dxfId="19" priority="27"/>
  </conditionalFormatting>
  <conditionalFormatting sqref="B65:B66 B73">
    <cfRule type="duplicateValues" dxfId="18" priority="38"/>
  </conditionalFormatting>
  <conditionalFormatting sqref="B67:B70 B72 B74 B76 B78 B80 B82">
    <cfRule type="duplicateValues" dxfId="17" priority="30"/>
  </conditionalFormatting>
  <conditionalFormatting sqref="B71 B79 B81 B96:B97">
    <cfRule type="duplicateValues" dxfId="16" priority="41"/>
  </conditionalFormatting>
  <conditionalFormatting sqref="B75 B178:B182 B185">
    <cfRule type="duplicateValues" dxfId="15" priority="33"/>
  </conditionalFormatting>
  <conditionalFormatting sqref="B86 B90 B122 B125">
    <cfRule type="duplicateValues" dxfId="14" priority="28"/>
  </conditionalFormatting>
  <conditionalFormatting sqref="B87 B92 B126">
    <cfRule type="duplicateValues" dxfId="13" priority="22"/>
  </conditionalFormatting>
  <conditionalFormatting sqref="B88 B109 B111 B120:B121">
    <cfRule type="duplicateValues" dxfId="12" priority="21"/>
  </conditionalFormatting>
  <conditionalFormatting sqref="B89 B220">
    <cfRule type="duplicateValues" dxfId="11" priority="20"/>
  </conditionalFormatting>
  <conditionalFormatting sqref="B95 B103 B198:B199 B202:B204 B209">
    <cfRule type="duplicateValues" dxfId="10" priority="6"/>
  </conditionalFormatting>
  <conditionalFormatting sqref="B104 B106 B108 B110 B112 B177">
    <cfRule type="duplicateValues" dxfId="9" priority="40"/>
  </conditionalFormatting>
  <conditionalFormatting sqref="B105 B107">
    <cfRule type="duplicateValues" dxfId="8" priority="39"/>
  </conditionalFormatting>
  <conditionalFormatting sqref="B116:B118 B168 B172 B197">
    <cfRule type="duplicateValues" dxfId="7" priority="11"/>
  </conditionalFormatting>
  <conditionalFormatting sqref="B119 B167 B195:B196">
    <cfRule type="duplicateValues" dxfId="6" priority="12"/>
  </conditionalFormatting>
  <conditionalFormatting sqref="B124 B133 B141:B142">
    <cfRule type="duplicateValues" dxfId="5" priority="25"/>
  </conditionalFormatting>
  <conditionalFormatting sqref="B127:B128 B136 B138">
    <cfRule type="duplicateValues" dxfId="4" priority="23"/>
  </conditionalFormatting>
  <conditionalFormatting sqref="B129:B131 B193 B217">
    <cfRule type="duplicateValues" dxfId="3" priority="17"/>
  </conditionalFormatting>
  <conditionalFormatting sqref="B169:B170 B189:B190 B212:B213">
    <cfRule type="duplicateValues" dxfId="2" priority="13"/>
  </conditionalFormatting>
  <conditionalFormatting sqref="B184 B186">
    <cfRule type="duplicateValues" dxfId="1" priority="34"/>
  </conditionalFormatting>
  <conditionalFormatting sqref="B15 B12 B6:B10">
    <cfRule type="duplicateValues" dxfId="0" priority="5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69"/>
  <sheetViews>
    <sheetView topLeftCell="A13" zoomScale="80" zoomScaleNormal="80" workbookViewId="0">
      <selection activeCell="Z32" sqref="Z32"/>
    </sheetView>
  </sheetViews>
  <sheetFormatPr defaultColWidth="3.5" defaultRowHeight="13.5"/>
  <cols>
    <col min="1" max="1" width="6.875" style="1" customWidth="1"/>
    <col min="2" max="2" width="2.875" style="1" customWidth="1"/>
    <col min="3" max="3" width="5" style="1" customWidth="1"/>
    <col min="4" max="23" width="4.375" style="1" customWidth="1"/>
    <col min="24" max="24" width="4.875" style="1" customWidth="1"/>
    <col min="25" max="47" width="4.375" style="1" customWidth="1"/>
    <col min="48" max="48" width="3.5" style="1" customWidth="1"/>
    <col min="49" max="49" width="6.625" style="1" customWidth="1"/>
    <col min="50" max="50" width="3.5" style="1" customWidth="1"/>
    <col min="51" max="51" width="6.25" style="1" customWidth="1"/>
    <col min="52" max="52" width="3.5" style="1" customWidth="1"/>
    <col min="53" max="16384" width="3.5" style="1"/>
  </cols>
  <sheetData>
    <row r="1" spans="1:51" ht="32.1" customHeight="1">
      <c r="Q1" s="96" t="s">
        <v>19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</row>
    <row r="2" spans="1:51">
      <c r="A2" s="92" t="s">
        <v>20</v>
      </c>
      <c r="B2" s="92"/>
      <c r="C2" s="92"/>
      <c r="D2" s="92"/>
      <c r="E2" s="92"/>
      <c r="F2" s="92"/>
      <c r="H2" s="3"/>
      <c r="I2" s="3"/>
      <c r="J2" s="3"/>
      <c r="K2" s="3"/>
      <c r="L2" s="3"/>
      <c r="M2" s="3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</row>
    <row r="3" spans="1:51">
      <c r="A3" s="2"/>
      <c r="B3" s="92" t="s">
        <v>21</v>
      </c>
      <c r="C3" s="92"/>
      <c r="D3" s="92"/>
      <c r="E3" s="92"/>
      <c r="F3" s="92"/>
      <c r="H3" s="3"/>
      <c r="I3" s="3"/>
      <c r="J3" s="3"/>
      <c r="K3" s="3"/>
      <c r="L3" s="3"/>
      <c r="M3" s="3"/>
      <c r="N3" s="3"/>
      <c r="O3" s="3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</row>
    <row r="4" spans="1:51" ht="18.75">
      <c r="H4" s="3"/>
      <c r="I4" s="3"/>
      <c r="J4" s="3"/>
      <c r="K4" s="3"/>
      <c r="L4" s="3"/>
      <c r="M4" s="3"/>
      <c r="N4" s="3"/>
      <c r="O4" s="3"/>
      <c r="P4" s="3"/>
      <c r="Q4" s="94" t="s">
        <v>22</v>
      </c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51">
      <c r="A5" s="92" t="s">
        <v>23</v>
      </c>
      <c r="B5" s="92"/>
      <c r="C5" s="92"/>
      <c r="D5" s="92"/>
      <c r="E5" s="92"/>
      <c r="F5" s="92"/>
      <c r="H5" s="3"/>
      <c r="I5" s="3"/>
      <c r="J5" s="3"/>
      <c r="K5" s="3"/>
      <c r="L5" s="3"/>
      <c r="M5" s="3"/>
      <c r="N5" s="3"/>
      <c r="O5" s="3"/>
      <c r="P5" s="3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 spans="1:51">
      <c r="A6" s="92" t="s">
        <v>24</v>
      </c>
      <c r="B6" s="92"/>
      <c r="C6" s="92"/>
      <c r="D6" s="92"/>
      <c r="E6" s="92"/>
      <c r="F6" s="92"/>
      <c r="H6" s="3"/>
      <c r="I6" s="3"/>
      <c r="J6" s="3"/>
      <c r="K6" s="3"/>
      <c r="L6" s="3"/>
      <c r="M6" s="3"/>
      <c r="N6" s="3"/>
      <c r="O6" s="3"/>
      <c r="P6" s="3"/>
      <c r="S6" s="95" t="s">
        <v>25</v>
      </c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 spans="1:51">
      <c r="A7" s="92" t="s">
        <v>26</v>
      </c>
      <c r="B7" s="92"/>
      <c r="C7" s="92"/>
      <c r="D7" s="92"/>
      <c r="E7" s="92"/>
      <c r="F7" s="92"/>
      <c r="G7" s="1">
        <v>1</v>
      </c>
      <c r="H7" s="3"/>
      <c r="I7" s="3"/>
      <c r="J7" s="3"/>
      <c r="K7" s="3"/>
      <c r="L7" s="3"/>
      <c r="M7" s="3"/>
      <c r="N7" s="3"/>
      <c r="O7" s="3"/>
      <c r="P7" s="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51">
      <c r="A8" s="92" t="s">
        <v>27</v>
      </c>
      <c r="B8" s="92"/>
      <c r="C8" s="92"/>
      <c r="D8" s="92"/>
      <c r="E8" s="92"/>
      <c r="F8" s="92"/>
      <c r="H8" s="3"/>
      <c r="I8" s="3"/>
      <c r="J8" s="3"/>
      <c r="K8" s="3"/>
      <c r="L8" s="3"/>
      <c r="M8" s="3"/>
      <c r="N8" s="3"/>
      <c r="O8" s="3"/>
      <c r="P8" s="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11" spans="1:51">
      <c r="G11" s="5"/>
    </row>
    <row r="12" spans="1:51">
      <c r="G12" s="5"/>
      <c r="AQ12" s="5"/>
    </row>
    <row r="13" spans="1:51">
      <c r="G13" s="6"/>
      <c r="H13" s="7"/>
      <c r="I13" s="8">
        <v>13</v>
      </c>
      <c r="J13" s="7"/>
      <c r="K13" s="8">
        <v>11</v>
      </c>
      <c r="L13" s="7"/>
      <c r="M13" s="8">
        <v>9</v>
      </c>
      <c r="N13" s="7"/>
      <c r="O13" s="7"/>
      <c r="P13" s="7"/>
      <c r="Q13" s="7"/>
      <c r="R13" s="7"/>
      <c r="S13" s="8">
        <v>7</v>
      </c>
      <c r="T13" s="7"/>
      <c r="U13" s="8">
        <v>5</v>
      </c>
      <c r="V13" s="7"/>
      <c r="W13" s="8">
        <v>3</v>
      </c>
      <c r="X13" s="7"/>
      <c r="Y13" s="8">
        <v>1</v>
      </c>
      <c r="Z13" s="7"/>
      <c r="AA13" s="8">
        <v>2</v>
      </c>
      <c r="AB13" s="7"/>
      <c r="AC13" s="8">
        <v>4</v>
      </c>
      <c r="AD13" s="7"/>
      <c r="AE13" s="8">
        <v>6</v>
      </c>
      <c r="AF13" s="7"/>
      <c r="AG13" s="7"/>
      <c r="AH13" s="7"/>
      <c r="AI13" s="7"/>
      <c r="AJ13" s="7"/>
      <c r="AK13" s="8">
        <v>8</v>
      </c>
      <c r="AL13" s="7"/>
      <c r="AM13" s="8">
        <v>10</v>
      </c>
      <c r="AN13" s="7"/>
      <c r="AO13" s="8">
        <v>12</v>
      </c>
      <c r="AP13" s="7"/>
      <c r="AQ13" s="6"/>
      <c r="AR13" s="7"/>
      <c r="AW13" s="1" t="s">
        <v>28</v>
      </c>
      <c r="AY13" s="1">
        <v>13</v>
      </c>
    </row>
    <row r="14" spans="1:51">
      <c r="G14" s="5"/>
      <c r="I14" s="9"/>
      <c r="K14" s="9"/>
      <c r="M14" s="9"/>
      <c r="S14" s="9"/>
      <c r="U14" s="9"/>
      <c r="W14" s="9"/>
      <c r="Y14" s="9"/>
      <c r="AA14" s="9"/>
      <c r="AC14" s="9"/>
      <c r="AE14" s="9"/>
      <c r="AK14" s="9"/>
      <c r="AM14" s="9"/>
      <c r="AO14" s="9"/>
      <c r="AQ14" s="5"/>
    </row>
    <row r="15" spans="1:51" ht="50.1" customHeight="1">
      <c r="G15" s="10"/>
      <c r="H15" s="11"/>
      <c r="I15" s="12" t="e">
        <f>_xlfn.XLOOKUP(I13,人员名单!$E:$E,人员名单!$B:$B)</f>
        <v>#N/A</v>
      </c>
      <c r="J15" s="11"/>
      <c r="K15" s="12" t="e">
        <f>_xlfn.XLOOKUP(K13,人员名单!$E:$E,人员名单!$B:$B)</f>
        <v>#N/A</v>
      </c>
      <c r="L15" s="11"/>
      <c r="M15" s="12" t="e">
        <f>_xlfn.XLOOKUP(M13,人员名单!$E:$E,人员名单!$B:$B)</f>
        <v>#N/A</v>
      </c>
      <c r="N15" s="11"/>
      <c r="O15" s="11"/>
      <c r="P15" s="11"/>
      <c r="Q15" s="11"/>
      <c r="R15" s="11"/>
      <c r="S15" s="12" t="e">
        <f>_xlfn.XLOOKUP(S13,人员名单!$E:$E,人员名单!$B:$B)</f>
        <v>#N/A</v>
      </c>
      <c r="T15" s="11"/>
      <c r="U15" s="12" t="e">
        <f>_xlfn.XLOOKUP(U13,人员名单!$E:$E,人员名单!$B:$B)</f>
        <v>#N/A</v>
      </c>
      <c r="V15" s="11"/>
      <c r="W15" s="12" t="e">
        <f>_xlfn.XLOOKUP(W13,人员名单!$E:$E,人员名单!$B:$B)</f>
        <v>#N/A</v>
      </c>
      <c r="X15" s="11"/>
      <c r="Y15" s="12" t="e">
        <f>_xlfn.XLOOKUP(Y13,人员名单!$E:$E,人员名单!$B:$B)</f>
        <v>#N/A</v>
      </c>
      <c r="Z15" s="11"/>
      <c r="AA15" s="12" t="e">
        <f>_xlfn.XLOOKUP(AA13,人员名单!$E:$E,人员名单!$B:$B)</f>
        <v>#N/A</v>
      </c>
      <c r="AB15" s="11"/>
      <c r="AC15" s="12" t="e">
        <f>_xlfn.XLOOKUP(AC13,人员名单!$E:$E,人员名单!$B:$B)</f>
        <v>#N/A</v>
      </c>
      <c r="AD15" s="11"/>
      <c r="AE15" s="12" t="e">
        <f>_xlfn.XLOOKUP(AE13,人员名单!$E:$E,人员名单!$B:$B)</f>
        <v>#N/A</v>
      </c>
      <c r="AF15" s="11"/>
      <c r="AG15" s="11"/>
      <c r="AH15" s="11"/>
      <c r="AI15" s="11"/>
      <c r="AJ15" s="11"/>
      <c r="AK15" s="12" t="e">
        <f>_xlfn.XLOOKUP(AK13,人员名单!$E:$E,人员名单!$B:$B)</f>
        <v>#N/A</v>
      </c>
      <c r="AL15" s="11"/>
      <c r="AM15" s="12" t="e">
        <f>_xlfn.XLOOKUP(AM13,人员名单!$E:$E,人员名单!$B:$B)</f>
        <v>#N/A</v>
      </c>
      <c r="AN15" s="11"/>
      <c r="AO15" s="12" t="e">
        <f>_xlfn.XLOOKUP(AO13,人员名单!$E:$E,人员名单!$B:$B)</f>
        <v>#N/A</v>
      </c>
      <c r="AP15" s="11"/>
      <c r="AQ15" s="13"/>
      <c r="AS15" s="14"/>
      <c r="AT15" s="14"/>
    </row>
    <row r="16" spans="1:51">
      <c r="O16" s="14"/>
      <c r="AS16" s="14"/>
      <c r="AT16" s="14"/>
    </row>
    <row r="17" spans="1:51">
      <c r="A17" s="15" t="s">
        <v>29</v>
      </c>
      <c r="B17" s="5"/>
      <c r="F17" s="16">
        <v>37</v>
      </c>
      <c r="G17" s="16">
        <v>36</v>
      </c>
      <c r="H17" s="16">
        <v>35</v>
      </c>
      <c r="I17" s="16">
        <v>34</v>
      </c>
      <c r="J17" s="16">
        <v>33</v>
      </c>
      <c r="K17" s="16">
        <v>32</v>
      </c>
      <c r="L17" s="16">
        <v>31</v>
      </c>
      <c r="M17" s="16">
        <v>30</v>
      </c>
      <c r="N17" s="16">
        <v>29</v>
      </c>
      <c r="O17" s="17"/>
      <c r="Q17" s="16">
        <v>28</v>
      </c>
      <c r="R17" s="16">
        <v>27</v>
      </c>
      <c r="S17" s="16">
        <v>26</v>
      </c>
      <c r="T17" s="16">
        <v>25</v>
      </c>
      <c r="U17" s="16">
        <v>24</v>
      </c>
      <c r="V17" s="16">
        <v>23</v>
      </c>
      <c r="W17" s="16">
        <v>22</v>
      </c>
      <c r="X17" s="16">
        <v>21</v>
      </c>
      <c r="Y17" s="16">
        <v>20</v>
      </c>
      <c r="Z17" s="16">
        <v>19</v>
      </c>
      <c r="AA17" s="16">
        <v>18</v>
      </c>
      <c r="AB17" s="16">
        <v>17</v>
      </c>
      <c r="AC17" s="16">
        <v>16</v>
      </c>
      <c r="AD17" s="16">
        <v>15</v>
      </c>
      <c r="AE17" s="16">
        <v>14</v>
      </c>
      <c r="AF17" s="16">
        <v>13</v>
      </c>
      <c r="AG17" s="16">
        <v>12</v>
      </c>
      <c r="AI17" s="18"/>
      <c r="AJ17" s="16">
        <v>11</v>
      </c>
      <c r="AK17" s="16">
        <v>10</v>
      </c>
      <c r="AL17" s="16">
        <v>9</v>
      </c>
      <c r="AM17" s="16">
        <v>8</v>
      </c>
      <c r="AN17" s="16">
        <v>7</v>
      </c>
      <c r="AO17" s="16">
        <v>6</v>
      </c>
      <c r="AP17" s="16">
        <v>5</v>
      </c>
      <c r="AQ17" s="16">
        <v>4</v>
      </c>
      <c r="AR17" s="16">
        <v>3</v>
      </c>
      <c r="AS17" s="14"/>
      <c r="AT17" s="14"/>
      <c r="AW17" s="15" t="s">
        <v>29</v>
      </c>
      <c r="AY17" s="1">
        <v>35</v>
      </c>
    </row>
    <row r="18" spans="1:51">
      <c r="A18" s="15"/>
      <c r="B18" s="5"/>
      <c r="F18" s="19">
        <v>48</v>
      </c>
      <c r="G18" s="19">
        <v>46</v>
      </c>
      <c r="H18" s="19">
        <v>44</v>
      </c>
      <c r="I18" s="19">
        <v>42</v>
      </c>
      <c r="J18" s="19">
        <v>40</v>
      </c>
      <c r="K18" s="19">
        <v>38</v>
      </c>
      <c r="L18" s="19">
        <v>36</v>
      </c>
      <c r="M18" s="19">
        <v>34</v>
      </c>
      <c r="N18" s="19">
        <v>32</v>
      </c>
      <c r="O18" s="17"/>
      <c r="Q18" s="19">
        <v>30</v>
      </c>
      <c r="R18" s="19">
        <v>28</v>
      </c>
      <c r="S18" s="19">
        <v>26</v>
      </c>
      <c r="T18" s="19">
        <v>24</v>
      </c>
      <c r="U18" s="19">
        <v>22</v>
      </c>
      <c r="V18" s="19">
        <v>20</v>
      </c>
      <c r="W18" s="19">
        <v>18</v>
      </c>
      <c r="X18" s="19">
        <v>16</v>
      </c>
      <c r="Y18" s="19">
        <v>14</v>
      </c>
      <c r="Z18" s="19">
        <v>15</v>
      </c>
      <c r="AA18" s="19">
        <v>17</v>
      </c>
      <c r="AB18" s="19">
        <v>19</v>
      </c>
      <c r="AC18" s="19">
        <v>21</v>
      </c>
      <c r="AD18" s="19">
        <v>23</v>
      </c>
      <c r="AE18" s="19">
        <v>25</v>
      </c>
      <c r="AF18" s="19">
        <v>27</v>
      </c>
      <c r="AG18" s="19">
        <v>29</v>
      </c>
      <c r="AI18" s="18"/>
      <c r="AJ18" s="19">
        <v>31</v>
      </c>
      <c r="AK18" s="19">
        <v>33</v>
      </c>
      <c r="AL18" s="19">
        <v>35</v>
      </c>
      <c r="AM18" s="19">
        <v>37</v>
      </c>
      <c r="AN18" s="19">
        <v>39</v>
      </c>
      <c r="AO18" s="19">
        <v>41</v>
      </c>
      <c r="AP18" s="19">
        <v>43</v>
      </c>
      <c r="AQ18" s="19">
        <v>45</v>
      </c>
      <c r="AR18" s="19">
        <v>47</v>
      </c>
      <c r="AW18" s="15"/>
    </row>
    <row r="19" spans="1:51" ht="59.1" customHeight="1">
      <c r="A19" s="15"/>
      <c r="B19" s="5"/>
      <c r="F19" s="20" t="e">
        <f>_xlfn.XLOOKUP(F18,人员名单!$E:$E,人员名单!$B:$B)</f>
        <v>#N/A</v>
      </c>
      <c r="G19" s="20" t="e">
        <f>_xlfn.XLOOKUP(G18,人员名单!$E:$E,人员名单!$B:$B)</f>
        <v>#N/A</v>
      </c>
      <c r="H19" s="20" t="e">
        <f>_xlfn.XLOOKUP(H18,人员名单!$E:$E,人员名单!$B:$B)</f>
        <v>#N/A</v>
      </c>
      <c r="I19" s="20" t="e">
        <f>_xlfn.XLOOKUP(I18,人员名单!$E:$E,人员名单!$B:$B)</f>
        <v>#N/A</v>
      </c>
      <c r="J19" s="20" t="e">
        <f>_xlfn.XLOOKUP(J18,人员名单!$E:$E,人员名单!$B:$B)</f>
        <v>#N/A</v>
      </c>
      <c r="K19" s="20" t="e">
        <f>_xlfn.XLOOKUP(K18,人员名单!$E:$E,人员名单!$B:$B)</f>
        <v>#N/A</v>
      </c>
      <c r="L19" s="20" t="e">
        <f>_xlfn.XLOOKUP(L18,人员名单!$E:$E,人员名单!$B:$B)</f>
        <v>#N/A</v>
      </c>
      <c r="M19" s="20" t="e">
        <f>_xlfn.XLOOKUP(M18,人员名单!$E:$E,人员名单!$B:$B)</f>
        <v>#N/A</v>
      </c>
      <c r="N19" s="20" t="e">
        <f>_xlfn.XLOOKUP(N18,人员名单!$E:$E,人员名单!$B:$B)</f>
        <v>#N/A</v>
      </c>
      <c r="O19" s="20"/>
      <c r="P19" s="20"/>
      <c r="Q19" s="20" t="e">
        <f>_xlfn.XLOOKUP(Q18,人员名单!$E:$E,人员名单!$B:$B)</f>
        <v>#N/A</v>
      </c>
      <c r="R19" s="20" t="e">
        <f>_xlfn.XLOOKUP(R18,人员名单!$E:$E,人员名单!$B:$B)</f>
        <v>#N/A</v>
      </c>
      <c r="S19" s="20" t="e">
        <f>_xlfn.XLOOKUP(S18,人员名单!$E:$E,人员名单!$B:$B)</f>
        <v>#N/A</v>
      </c>
      <c r="T19" s="20" t="e">
        <f>_xlfn.XLOOKUP(T18,人员名单!$E:$E,人员名单!$B:$B)</f>
        <v>#N/A</v>
      </c>
      <c r="U19" s="20" t="e">
        <f>_xlfn.XLOOKUP(U18,人员名单!$E:$E,人员名单!$B:$B)</f>
        <v>#N/A</v>
      </c>
      <c r="V19" s="20" t="e">
        <f>_xlfn.XLOOKUP(V18,人员名单!$E:$E,人员名单!$B:$B)</f>
        <v>#N/A</v>
      </c>
      <c r="W19" s="20" t="e">
        <f>_xlfn.XLOOKUP(W18,人员名单!$E:$E,人员名单!$B:$B)</f>
        <v>#N/A</v>
      </c>
      <c r="X19" s="20" t="e">
        <f>_xlfn.XLOOKUP(X18,人员名单!$E:$E,人员名单!$B:$B)</f>
        <v>#N/A</v>
      </c>
      <c r="Y19" s="20" t="e">
        <f>_xlfn.XLOOKUP(Y18,人员名单!$E:$E,人员名单!$B:$B)</f>
        <v>#N/A</v>
      </c>
      <c r="Z19" s="20" t="e">
        <f>_xlfn.XLOOKUP(Z18,人员名单!$E:$E,人员名单!$B:$B)</f>
        <v>#N/A</v>
      </c>
      <c r="AA19" s="20" t="e">
        <f>_xlfn.XLOOKUP(AA18,人员名单!$E:$E,人员名单!$B:$B)</f>
        <v>#N/A</v>
      </c>
      <c r="AB19" s="20" t="e">
        <f>_xlfn.XLOOKUP(AB18,人员名单!$E:$E,人员名单!$B:$B)</f>
        <v>#N/A</v>
      </c>
      <c r="AC19" s="20" t="e">
        <f>_xlfn.XLOOKUP(AC18,人员名单!$E:$E,人员名单!$B:$B)</f>
        <v>#N/A</v>
      </c>
      <c r="AD19" s="20" t="e">
        <f>_xlfn.XLOOKUP(AD18,人员名单!$E:$E,人员名单!$B:$B)</f>
        <v>#N/A</v>
      </c>
      <c r="AE19" s="20" t="e">
        <f>_xlfn.XLOOKUP(AE18,人员名单!$E:$E,人员名单!$B:$B)</f>
        <v>#N/A</v>
      </c>
      <c r="AF19" s="20" t="e">
        <f>_xlfn.XLOOKUP(AF18,人员名单!$E:$E,人员名单!$B:$B)</f>
        <v>#N/A</v>
      </c>
      <c r="AG19" s="20" t="e">
        <f>_xlfn.XLOOKUP(AG18,人员名单!$E:$E,人员名单!$B:$B)</f>
        <v>#N/A</v>
      </c>
      <c r="AH19" s="20"/>
      <c r="AI19" s="20"/>
      <c r="AJ19" s="20" t="e">
        <f>_xlfn.XLOOKUP(AJ18,人员名单!$E:$E,人员名单!$B:$B)</f>
        <v>#N/A</v>
      </c>
      <c r="AK19" s="20" t="e">
        <f>_xlfn.XLOOKUP(AK18,人员名单!$E:$E,人员名单!$B:$B)</f>
        <v>#N/A</v>
      </c>
      <c r="AL19" s="20" t="e">
        <f>_xlfn.XLOOKUP(AL18,人员名单!$E:$E,人员名单!$B:$B)</f>
        <v>#N/A</v>
      </c>
      <c r="AM19" s="20" t="e">
        <f>_xlfn.XLOOKUP(AM18,人员名单!$E:$E,人员名单!$B:$B)</f>
        <v>#N/A</v>
      </c>
      <c r="AN19" s="20" t="e">
        <f>_xlfn.XLOOKUP(AN18,人员名单!$E:$E,人员名单!$B:$B)</f>
        <v>#N/A</v>
      </c>
      <c r="AO19" s="20" t="e">
        <f>_xlfn.XLOOKUP(AO18,人员名单!$E:$E,人员名单!$B:$B)</f>
        <v>#N/A</v>
      </c>
      <c r="AP19" s="20" t="e">
        <f>_xlfn.XLOOKUP(AP18,人员名单!$E:$E,人员名单!$B:$B)</f>
        <v>#N/A</v>
      </c>
      <c r="AQ19" s="20" t="e">
        <f>_xlfn.XLOOKUP(AQ18,人员名单!$E:$E,人员名单!$B:$B)</f>
        <v>#N/A</v>
      </c>
      <c r="AR19" s="20" t="e">
        <f>_xlfn.XLOOKUP(AR18,人员名单!$E:$E,人员名单!$B:$B)</f>
        <v>#N/A</v>
      </c>
      <c r="AW19" s="15"/>
    </row>
    <row r="20" spans="1:51">
      <c r="M20" s="14"/>
      <c r="N20" s="14"/>
      <c r="O20" s="17"/>
      <c r="AI20" s="18"/>
    </row>
    <row r="21" spans="1:51">
      <c r="A21" s="21" t="s">
        <v>30</v>
      </c>
      <c r="E21" s="16">
        <v>41</v>
      </c>
      <c r="F21" s="16">
        <v>40</v>
      </c>
      <c r="G21" s="16">
        <v>39</v>
      </c>
      <c r="H21" s="16">
        <v>38</v>
      </c>
      <c r="I21" s="16">
        <v>37</v>
      </c>
      <c r="J21" s="16">
        <v>36</v>
      </c>
      <c r="K21" s="16">
        <v>35</v>
      </c>
      <c r="L21" s="16">
        <v>34</v>
      </c>
      <c r="M21" s="16">
        <v>33</v>
      </c>
      <c r="N21" s="16">
        <v>32</v>
      </c>
      <c r="O21" s="17"/>
      <c r="P21" s="16">
        <v>31</v>
      </c>
      <c r="Q21" s="16">
        <v>30</v>
      </c>
      <c r="R21" s="16">
        <v>29</v>
      </c>
      <c r="S21" s="16">
        <v>28</v>
      </c>
      <c r="T21" s="16">
        <v>27</v>
      </c>
      <c r="U21" s="16">
        <v>26</v>
      </c>
      <c r="V21" s="16">
        <v>25</v>
      </c>
      <c r="W21" s="16">
        <v>24</v>
      </c>
      <c r="X21" s="16">
        <v>23</v>
      </c>
      <c r="Y21" s="16">
        <v>22</v>
      </c>
      <c r="Z21" s="16">
        <v>21</v>
      </c>
      <c r="AA21" s="16">
        <v>20</v>
      </c>
      <c r="AB21" s="16">
        <v>19</v>
      </c>
      <c r="AC21" s="16">
        <v>18</v>
      </c>
      <c r="AD21" s="16">
        <v>17</v>
      </c>
      <c r="AE21" s="16">
        <v>16</v>
      </c>
      <c r="AF21" s="16">
        <v>15</v>
      </c>
      <c r="AG21" s="16">
        <v>14</v>
      </c>
      <c r="AH21" s="16">
        <v>13</v>
      </c>
      <c r="AI21" s="18"/>
      <c r="AJ21" s="16">
        <v>12</v>
      </c>
      <c r="AK21" s="16">
        <v>11</v>
      </c>
      <c r="AL21" s="16">
        <v>10</v>
      </c>
      <c r="AM21" s="16">
        <v>9</v>
      </c>
      <c r="AN21" s="16">
        <v>8</v>
      </c>
      <c r="AO21" s="16">
        <v>7</v>
      </c>
      <c r="AP21" s="16">
        <v>6</v>
      </c>
      <c r="AQ21" s="16">
        <v>5</v>
      </c>
      <c r="AR21" s="16">
        <v>4</v>
      </c>
      <c r="AS21" s="16">
        <v>3</v>
      </c>
      <c r="AW21" s="21" t="s">
        <v>30</v>
      </c>
      <c r="AY21" s="1">
        <v>39</v>
      </c>
    </row>
    <row r="22" spans="1:51">
      <c r="A22" s="21"/>
      <c r="E22" s="19">
        <v>87</v>
      </c>
      <c r="F22" s="19">
        <v>85</v>
      </c>
      <c r="G22" s="19">
        <v>83</v>
      </c>
      <c r="H22" s="19">
        <v>81</v>
      </c>
      <c r="I22" s="19">
        <v>79</v>
      </c>
      <c r="J22" s="19">
        <v>77</v>
      </c>
      <c r="K22" s="19">
        <v>75</v>
      </c>
      <c r="L22" s="19">
        <v>73</v>
      </c>
      <c r="M22" s="19">
        <v>71</v>
      </c>
      <c r="N22" s="19">
        <v>69</v>
      </c>
      <c r="O22" s="17"/>
      <c r="P22" s="19">
        <v>67</v>
      </c>
      <c r="Q22" s="19">
        <v>65</v>
      </c>
      <c r="R22" s="19">
        <v>63</v>
      </c>
      <c r="S22" s="19">
        <v>61</v>
      </c>
      <c r="T22" s="19">
        <v>59</v>
      </c>
      <c r="U22" s="19">
        <v>57</v>
      </c>
      <c r="V22" s="19">
        <v>55</v>
      </c>
      <c r="W22" s="19">
        <v>53</v>
      </c>
      <c r="X22" s="19">
        <v>51</v>
      </c>
      <c r="Y22" s="19">
        <v>49</v>
      </c>
      <c r="Z22" s="19">
        <v>50</v>
      </c>
      <c r="AA22" s="19">
        <v>52</v>
      </c>
      <c r="AB22" s="19">
        <v>54</v>
      </c>
      <c r="AC22" s="19">
        <v>56</v>
      </c>
      <c r="AD22" s="19">
        <v>58</v>
      </c>
      <c r="AE22" s="19">
        <v>60</v>
      </c>
      <c r="AF22" s="19">
        <v>62</v>
      </c>
      <c r="AG22" s="19">
        <v>64</v>
      </c>
      <c r="AH22" s="19">
        <v>66</v>
      </c>
      <c r="AI22" s="18"/>
      <c r="AJ22" s="19">
        <v>68</v>
      </c>
      <c r="AK22" s="19">
        <v>70</v>
      </c>
      <c r="AL22" s="19">
        <v>72</v>
      </c>
      <c r="AM22" s="19">
        <v>74</v>
      </c>
      <c r="AN22" s="19">
        <v>76</v>
      </c>
      <c r="AO22" s="19">
        <v>78</v>
      </c>
      <c r="AP22" s="19">
        <v>80</v>
      </c>
      <c r="AQ22" s="19">
        <v>82</v>
      </c>
      <c r="AR22" s="19">
        <v>84</v>
      </c>
      <c r="AS22" s="19">
        <v>86</v>
      </c>
      <c r="AW22" s="21"/>
    </row>
    <row r="23" spans="1:51" ht="77.099999999999994" customHeight="1">
      <c r="A23" s="21"/>
      <c r="E23" s="22" t="e">
        <f>_xlfn.XLOOKUP(E22,人员名单!$E:$E,人员名单!$B:$B)</f>
        <v>#N/A</v>
      </c>
      <c r="F23" s="20" t="e">
        <f>_xlfn.XLOOKUP(F22,人员名单!$E:$E,人员名单!$B:$B)</f>
        <v>#N/A</v>
      </c>
      <c r="G23" s="20" t="e">
        <f>_xlfn.XLOOKUP(G22,人员名单!$E:$E,人员名单!$B:$B)</f>
        <v>#N/A</v>
      </c>
      <c r="H23" s="20" t="e">
        <f>_xlfn.XLOOKUP(H22,人员名单!$E:$E,人员名单!$B:$B)</f>
        <v>#N/A</v>
      </c>
      <c r="I23" s="20" t="e">
        <f>_xlfn.XLOOKUP(I22,人员名单!$E:$E,人员名单!$B:$B)</f>
        <v>#N/A</v>
      </c>
      <c r="J23" s="20" t="e">
        <f>_xlfn.XLOOKUP(J22,人员名单!$E:$E,人员名单!$B:$B)</f>
        <v>#N/A</v>
      </c>
      <c r="K23" s="20" t="e">
        <f>_xlfn.XLOOKUP(K22,人员名单!$E:$E,人员名单!$B:$B)</f>
        <v>#N/A</v>
      </c>
      <c r="L23" s="20" t="e">
        <f>_xlfn.XLOOKUP(L22,人员名单!$E:$E,人员名单!$B:$B)</f>
        <v>#N/A</v>
      </c>
      <c r="M23" s="20" t="e">
        <f>_xlfn.XLOOKUP(M22,人员名单!$E:$E,人员名单!$B:$B)</f>
        <v>#N/A</v>
      </c>
      <c r="N23" s="20" t="e">
        <f>_xlfn.XLOOKUP(N22,人员名单!$E:$E,人员名单!$B:$B)</f>
        <v>#N/A</v>
      </c>
      <c r="O23" s="20"/>
      <c r="P23" s="20" t="e">
        <f>_xlfn.XLOOKUP(P22,人员名单!$E:$E,人员名单!$B:$B)</f>
        <v>#N/A</v>
      </c>
      <c r="Q23" s="20" t="e">
        <f>_xlfn.XLOOKUP(Q22,人员名单!$E:$E,人员名单!$B:$B)</f>
        <v>#N/A</v>
      </c>
      <c r="R23" s="20" t="e">
        <f>_xlfn.XLOOKUP(R22,人员名单!$E:$E,人员名单!$B:$B)</f>
        <v>#N/A</v>
      </c>
      <c r="S23" s="20" t="e">
        <f>_xlfn.XLOOKUP(S22,人员名单!$E:$E,人员名单!$B:$B)</f>
        <v>#N/A</v>
      </c>
      <c r="T23" s="20" t="e">
        <f>_xlfn.XLOOKUP(T22,人员名单!$E:$E,人员名单!$B:$B)</f>
        <v>#N/A</v>
      </c>
      <c r="U23" s="20" t="e">
        <f>_xlfn.XLOOKUP(U22,人员名单!$E:$E,人员名单!$B:$B)</f>
        <v>#N/A</v>
      </c>
      <c r="V23" s="20" t="e">
        <f>_xlfn.XLOOKUP(V22,人员名单!$E:$E,人员名单!$B:$B)</f>
        <v>#N/A</v>
      </c>
      <c r="W23" s="20" t="e">
        <f>_xlfn.XLOOKUP(W22,人员名单!$E:$E,人员名单!$B:$B)</f>
        <v>#N/A</v>
      </c>
      <c r="X23" s="20" t="e">
        <f>_xlfn.XLOOKUP(X22,人员名单!$E:$E,人员名单!$B:$B)</f>
        <v>#N/A</v>
      </c>
      <c r="Y23" s="20" t="e">
        <f>_xlfn.XLOOKUP(Y22,人员名单!$E:$E,人员名单!$B:$B)</f>
        <v>#N/A</v>
      </c>
      <c r="Z23" s="20" t="e">
        <f>_xlfn.XLOOKUP(Z22,人员名单!$E:$E,人员名单!$B:$B)</f>
        <v>#N/A</v>
      </c>
      <c r="AA23" s="20" t="e">
        <f>_xlfn.XLOOKUP(AA22,人员名单!$E:$E,人员名单!$B:$B)</f>
        <v>#N/A</v>
      </c>
      <c r="AB23" s="20" t="e">
        <f>_xlfn.XLOOKUP(AB22,人员名单!$E:$E,人员名单!$B:$B)</f>
        <v>#N/A</v>
      </c>
      <c r="AC23" s="20" t="e">
        <f>_xlfn.XLOOKUP(AC22,人员名单!$E:$E,人员名单!$B:$B)</f>
        <v>#N/A</v>
      </c>
      <c r="AD23" s="20" t="e">
        <f>_xlfn.XLOOKUP(AD22,人员名单!$E:$E,人员名单!$B:$B)</f>
        <v>#N/A</v>
      </c>
      <c r="AE23" s="20" t="e">
        <f>_xlfn.XLOOKUP(AE22,人员名单!$E:$E,人员名单!$B:$B)</f>
        <v>#N/A</v>
      </c>
      <c r="AF23" s="20" t="e">
        <f>_xlfn.XLOOKUP(AF22,人员名单!$E:$E,人员名单!$B:$B)</f>
        <v>#N/A</v>
      </c>
      <c r="AG23" s="20" t="e">
        <f>_xlfn.XLOOKUP(AG22,人员名单!$E:$E,人员名单!$B:$B)</f>
        <v>#N/A</v>
      </c>
      <c r="AH23" s="20" t="e">
        <f>_xlfn.XLOOKUP(AH22,人员名单!$E:$E,人员名单!$B:$B)</f>
        <v>#N/A</v>
      </c>
      <c r="AI23" s="20"/>
      <c r="AJ23" s="20" t="e">
        <f>_xlfn.XLOOKUP(AJ22,人员名单!$E:$E,人员名单!$B:$B)</f>
        <v>#N/A</v>
      </c>
      <c r="AK23" s="20" t="e">
        <f>_xlfn.XLOOKUP(AK22,人员名单!$E:$E,人员名单!$B:$B)</f>
        <v>#N/A</v>
      </c>
      <c r="AL23" s="20" t="e">
        <f>_xlfn.XLOOKUP(AL22,人员名单!$E:$E,人员名单!$B:$B)</f>
        <v>#N/A</v>
      </c>
      <c r="AM23" s="20" t="e">
        <f>_xlfn.XLOOKUP(AM22,人员名单!$E:$E,人员名单!$B:$B)</f>
        <v>#N/A</v>
      </c>
      <c r="AN23" s="20" t="e">
        <f>_xlfn.XLOOKUP(AN22,人员名单!$E:$E,人员名单!$B:$B)</f>
        <v>#N/A</v>
      </c>
      <c r="AO23" s="20" t="e">
        <f>_xlfn.XLOOKUP(AO22,人员名单!$E:$E,人员名单!$B:$B)</f>
        <v>#N/A</v>
      </c>
      <c r="AP23" s="20" t="e">
        <f>_xlfn.XLOOKUP(AP22,人员名单!$E:$E,人员名单!$B:$B)</f>
        <v>#N/A</v>
      </c>
      <c r="AQ23" s="20" t="e">
        <f>_xlfn.XLOOKUP(AQ22,人员名单!$E:$E,人员名单!$B:$B)</f>
        <v>#N/A</v>
      </c>
      <c r="AR23" s="20" t="e">
        <f>_xlfn.XLOOKUP(AR22,人员名单!$E:$E,人员名单!$B:$B)</f>
        <v>#N/A</v>
      </c>
      <c r="AS23" s="20" t="e">
        <f>_xlfn.XLOOKUP(AS22,人员名单!$E:$E,人员名单!$B:$B)</f>
        <v>#N/A</v>
      </c>
      <c r="AW23" s="21"/>
    </row>
    <row r="24" spans="1:51">
      <c r="M24" s="14"/>
      <c r="N24" s="14"/>
      <c r="O24" s="17"/>
      <c r="AI24" s="18"/>
    </row>
    <row r="25" spans="1:51">
      <c r="A25" s="15" t="s">
        <v>31</v>
      </c>
      <c r="D25" s="16">
        <v>42</v>
      </c>
      <c r="E25" s="16">
        <v>41</v>
      </c>
      <c r="F25" s="16">
        <v>40</v>
      </c>
      <c r="G25" s="16">
        <v>39</v>
      </c>
      <c r="H25" s="16">
        <v>38</v>
      </c>
      <c r="I25" s="16">
        <v>37</v>
      </c>
      <c r="J25" s="16">
        <v>36</v>
      </c>
      <c r="K25" s="16">
        <v>35</v>
      </c>
      <c r="L25" s="16">
        <v>34</v>
      </c>
      <c r="M25" s="16">
        <v>33</v>
      </c>
      <c r="N25" s="16">
        <v>32</v>
      </c>
      <c r="O25" s="17"/>
      <c r="P25" s="16">
        <v>31</v>
      </c>
      <c r="Q25" s="16">
        <v>30</v>
      </c>
      <c r="R25" s="16">
        <v>29</v>
      </c>
      <c r="S25" s="16">
        <v>28</v>
      </c>
      <c r="T25" s="16">
        <v>27</v>
      </c>
      <c r="U25" s="16">
        <v>26</v>
      </c>
      <c r="V25" s="16">
        <v>25</v>
      </c>
      <c r="W25" s="16">
        <v>24</v>
      </c>
      <c r="X25" s="16">
        <v>23</v>
      </c>
      <c r="Y25" s="16">
        <v>22</v>
      </c>
      <c r="Z25" s="16">
        <v>21</v>
      </c>
      <c r="AA25" s="16">
        <v>20</v>
      </c>
      <c r="AB25" s="16">
        <v>19</v>
      </c>
      <c r="AC25" s="16">
        <v>18</v>
      </c>
      <c r="AD25" s="16">
        <v>17</v>
      </c>
      <c r="AE25" s="16">
        <v>16</v>
      </c>
      <c r="AF25" s="16">
        <v>15</v>
      </c>
      <c r="AG25" s="16">
        <v>14</v>
      </c>
      <c r="AH25" s="16">
        <v>13</v>
      </c>
      <c r="AI25" s="18"/>
      <c r="AJ25" s="16">
        <v>12</v>
      </c>
      <c r="AK25" s="16">
        <v>11</v>
      </c>
      <c r="AL25" s="16">
        <v>10</v>
      </c>
      <c r="AM25" s="16">
        <v>9</v>
      </c>
      <c r="AN25" s="16">
        <v>8</v>
      </c>
      <c r="AO25" s="16">
        <v>7</v>
      </c>
      <c r="AP25" s="16">
        <v>6</v>
      </c>
      <c r="AQ25" s="16">
        <v>5</v>
      </c>
      <c r="AR25" s="16">
        <v>4</v>
      </c>
      <c r="AS25" s="16">
        <v>3</v>
      </c>
      <c r="AT25" s="16">
        <v>2</v>
      </c>
      <c r="AW25" s="15" t="s">
        <v>31</v>
      </c>
      <c r="AY25" s="1">
        <v>41</v>
      </c>
    </row>
    <row r="26" spans="1:51">
      <c r="A26" s="15"/>
      <c r="D26" s="19">
        <v>128</v>
      </c>
      <c r="E26" s="19">
        <v>126</v>
      </c>
      <c r="F26" s="19">
        <v>124</v>
      </c>
      <c r="G26" s="19">
        <v>122</v>
      </c>
      <c r="H26" s="19">
        <v>120</v>
      </c>
      <c r="I26" s="19">
        <v>118</v>
      </c>
      <c r="J26" s="19">
        <v>116</v>
      </c>
      <c r="K26" s="19">
        <v>114</v>
      </c>
      <c r="L26" s="19">
        <v>112</v>
      </c>
      <c r="M26" s="19">
        <v>110</v>
      </c>
      <c r="N26" s="19">
        <v>108</v>
      </c>
      <c r="O26" s="17"/>
      <c r="P26" s="19">
        <v>106</v>
      </c>
      <c r="Q26" s="19">
        <v>104</v>
      </c>
      <c r="R26" s="19">
        <v>102</v>
      </c>
      <c r="S26" s="19">
        <v>100</v>
      </c>
      <c r="T26" s="19">
        <v>98</v>
      </c>
      <c r="U26" s="19">
        <v>96</v>
      </c>
      <c r="V26" s="19">
        <v>94</v>
      </c>
      <c r="W26" s="19">
        <v>92</v>
      </c>
      <c r="X26" s="19">
        <v>90</v>
      </c>
      <c r="Y26" s="19">
        <v>88</v>
      </c>
      <c r="Z26" s="19">
        <v>89</v>
      </c>
      <c r="AA26" s="19">
        <v>91</v>
      </c>
      <c r="AB26" s="19">
        <v>93</v>
      </c>
      <c r="AC26" s="19">
        <v>95</v>
      </c>
      <c r="AD26" s="19">
        <v>97</v>
      </c>
      <c r="AE26" s="19">
        <v>99</v>
      </c>
      <c r="AF26" s="19">
        <v>101</v>
      </c>
      <c r="AG26" s="19">
        <v>103</v>
      </c>
      <c r="AH26" s="19">
        <v>105</v>
      </c>
      <c r="AI26" s="18"/>
      <c r="AJ26" s="19">
        <v>107</v>
      </c>
      <c r="AK26" s="19">
        <v>109</v>
      </c>
      <c r="AL26" s="19">
        <v>111</v>
      </c>
      <c r="AM26" s="19">
        <v>113</v>
      </c>
      <c r="AN26" s="19">
        <v>115</v>
      </c>
      <c r="AO26" s="19">
        <v>117</v>
      </c>
      <c r="AP26" s="19">
        <v>119</v>
      </c>
      <c r="AQ26" s="19">
        <v>121</v>
      </c>
      <c r="AR26" s="19">
        <v>123</v>
      </c>
      <c r="AS26" s="19">
        <v>125</v>
      </c>
      <c r="AT26" s="19">
        <v>127</v>
      </c>
      <c r="AW26" s="15"/>
    </row>
    <row r="27" spans="1:51" ht="55.5">
      <c r="A27" s="15"/>
      <c r="D27" s="20" t="e">
        <f>_xlfn.XLOOKUP(D26,人员名单!$E:$E,人员名单!$B:$B)</f>
        <v>#N/A</v>
      </c>
      <c r="E27" s="20" t="e">
        <f>_xlfn.XLOOKUP(E26,人员名单!$E:$E,人员名单!$B:$B)</f>
        <v>#N/A</v>
      </c>
      <c r="F27" s="20" t="e">
        <f>_xlfn.XLOOKUP(F26,人员名单!$E:$E,人员名单!$B:$B)</f>
        <v>#N/A</v>
      </c>
      <c r="G27" s="20" t="e">
        <f>_xlfn.XLOOKUP(G26,人员名单!$E:$E,人员名单!$B:$B)</f>
        <v>#N/A</v>
      </c>
      <c r="H27" s="20" t="e">
        <f>_xlfn.XLOOKUP(H26,人员名单!$E:$E,人员名单!$B:$B)</f>
        <v>#N/A</v>
      </c>
      <c r="I27" s="20" t="e">
        <f>_xlfn.XLOOKUP(I26,人员名单!$E:$E,人员名单!$B:$B)</f>
        <v>#N/A</v>
      </c>
      <c r="J27" s="20" t="e">
        <f>_xlfn.XLOOKUP(J26,人员名单!$E:$E,人员名单!$B:$B)</f>
        <v>#N/A</v>
      </c>
      <c r="K27" s="20" t="e">
        <f>_xlfn.XLOOKUP(K26,人员名单!$E:$E,人员名单!$B:$B)</f>
        <v>#N/A</v>
      </c>
      <c r="L27" s="20" t="e">
        <f>_xlfn.XLOOKUP(L26,人员名单!$E:$E,人员名单!$B:$B)</f>
        <v>#N/A</v>
      </c>
      <c r="M27" s="20" t="e">
        <f>_xlfn.XLOOKUP(M26,人员名单!$E:$E,人员名单!$B:$B)</f>
        <v>#N/A</v>
      </c>
      <c r="N27" s="20" t="e">
        <f>_xlfn.XLOOKUP(N26,人员名单!$E:$E,人员名单!$B:$B)</f>
        <v>#N/A</v>
      </c>
      <c r="O27" s="20"/>
      <c r="P27" s="20" t="e">
        <f>_xlfn.XLOOKUP(P26,人员名单!$E:$E,人员名单!$B:$B)</f>
        <v>#N/A</v>
      </c>
      <c r="Q27" s="20" t="e">
        <f>_xlfn.XLOOKUP(Q26,人员名单!$E:$E,人员名单!$B:$B)</f>
        <v>#N/A</v>
      </c>
      <c r="R27" s="20" t="e">
        <f>_xlfn.XLOOKUP(R26,人员名单!$E:$E,人员名单!$B:$B)</f>
        <v>#N/A</v>
      </c>
      <c r="S27" s="20" t="e">
        <f>_xlfn.XLOOKUP(S26,人员名单!$E:$E,人员名单!$B:$B)</f>
        <v>#N/A</v>
      </c>
      <c r="T27" s="20" t="e">
        <f>_xlfn.XLOOKUP(T26,人员名单!$E:$E,人员名单!$B:$B)</f>
        <v>#N/A</v>
      </c>
      <c r="U27" s="20" t="e">
        <f>_xlfn.XLOOKUP(U26,人员名单!$E:$E,人员名单!$B:$B)</f>
        <v>#N/A</v>
      </c>
      <c r="V27" s="20" t="e">
        <f>_xlfn.XLOOKUP(V26,人员名单!$E:$E,人员名单!$B:$B)</f>
        <v>#N/A</v>
      </c>
      <c r="W27" s="20" t="e">
        <f>_xlfn.XLOOKUP(W26,人员名单!$E:$E,人员名单!$B:$B)</f>
        <v>#N/A</v>
      </c>
      <c r="X27" s="20" t="e">
        <f>_xlfn.XLOOKUP(X26,人员名单!$E:$E,人员名单!$B:$B)</f>
        <v>#N/A</v>
      </c>
      <c r="Y27" s="20" t="e">
        <f>_xlfn.XLOOKUP(Y26,人员名单!$E:$E,人员名单!$B:$B)</f>
        <v>#N/A</v>
      </c>
      <c r="Z27" s="20" t="e">
        <f>_xlfn.XLOOKUP(Z26,人员名单!$E:$E,人员名单!$B:$B)</f>
        <v>#N/A</v>
      </c>
      <c r="AA27" s="20" t="e">
        <f>_xlfn.XLOOKUP(AA26,人员名单!$E:$E,人员名单!$B:$B)</f>
        <v>#N/A</v>
      </c>
      <c r="AB27" s="20" t="e">
        <f>_xlfn.XLOOKUP(AB26,人员名单!$E:$E,人员名单!$B:$B)</f>
        <v>#N/A</v>
      </c>
      <c r="AC27" s="20" t="e">
        <f>_xlfn.XLOOKUP(AC26,人员名单!$E:$E,人员名单!$B:$B)</f>
        <v>#N/A</v>
      </c>
      <c r="AD27" s="20" t="e">
        <f>_xlfn.XLOOKUP(AD26,人员名单!$E:$E,人员名单!$B:$B)</f>
        <v>#N/A</v>
      </c>
      <c r="AE27" s="20" t="e">
        <f>_xlfn.XLOOKUP(AE26,人员名单!$E:$E,人员名单!$B:$B)</f>
        <v>#N/A</v>
      </c>
      <c r="AF27" s="20" t="e">
        <f>_xlfn.XLOOKUP(AF26,人员名单!$E:$E,人员名单!$B:$B)</f>
        <v>#N/A</v>
      </c>
      <c r="AG27" s="20" t="e">
        <f>_xlfn.XLOOKUP(AG26,人员名单!$E:$E,人员名单!$B:$B)</f>
        <v>#N/A</v>
      </c>
      <c r="AH27" s="20" t="e">
        <f>_xlfn.XLOOKUP(AH26,人员名单!$E:$E,人员名单!$B:$B)</f>
        <v>#N/A</v>
      </c>
      <c r="AI27" s="20"/>
      <c r="AJ27" s="20" t="e">
        <f>_xlfn.XLOOKUP(AJ26,人员名单!$E:$E,人员名单!$B:$B)</f>
        <v>#N/A</v>
      </c>
      <c r="AK27" s="20" t="e">
        <f>_xlfn.XLOOKUP(AK26,人员名单!$E:$E,人员名单!$B:$B)</f>
        <v>#N/A</v>
      </c>
      <c r="AL27" s="20" t="e">
        <f>_xlfn.XLOOKUP(AL26,人员名单!$E:$E,人员名单!$B:$B)</f>
        <v>#N/A</v>
      </c>
      <c r="AM27" s="20" t="e">
        <f>_xlfn.XLOOKUP(AM26,人员名单!$E:$E,人员名单!$B:$B)</f>
        <v>#N/A</v>
      </c>
      <c r="AN27" s="20" t="e">
        <f>_xlfn.XLOOKUP(AN26,人员名单!$E:$E,人员名单!$B:$B)</f>
        <v>#N/A</v>
      </c>
      <c r="AO27" s="20" t="e">
        <f>_xlfn.XLOOKUP(AO26,人员名单!$E:$E,人员名单!$B:$B)</f>
        <v>#N/A</v>
      </c>
      <c r="AP27" s="20" t="e">
        <f>_xlfn.XLOOKUP(AP26,人员名单!$E:$E,人员名单!$B:$B)</f>
        <v>#N/A</v>
      </c>
      <c r="AQ27" s="20" t="e">
        <f>_xlfn.XLOOKUP(AQ26,人员名单!$E:$E,人员名单!$B:$B)</f>
        <v>#N/A</v>
      </c>
      <c r="AR27" s="20" t="e">
        <f>_xlfn.XLOOKUP(AR26,人员名单!$E:$E,人员名单!$B:$B)</f>
        <v>#N/A</v>
      </c>
      <c r="AS27" s="20" t="e">
        <f>_xlfn.XLOOKUP(AS26,人员名单!$E:$E,人员名单!$B:$B)</f>
        <v>#N/A</v>
      </c>
      <c r="AT27" s="20" t="e">
        <f>_xlfn.XLOOKUP(AT26,人员名单!$E:$E,人员名单!$B:$B)</f>
        <v>#N/A</v>
      </c>
      <c r="AW27" s="15"/>
    </row>
    <row r="28" spans="1:51">
      <c r="M28" s="14"/>
      <c r="N28" s="14"/>
      <c r="O28" s="17"/>
      <c r="AI28" s="18"/>
    </row>
    <row r="29" spans="1:51">
      <c r="A29" s="21" t="s">
        <v>32</v>
      </c>
      <c r="D29" s="16">
        <v>42</v>
      </c>
      <c r="E29" s="16">
        <v>41</v>
      </c>
      <c r="F29" s="16">
        <v>40</v>
      </c>
      <c r="G29" s="16">
        <v>39</v>
      </c>
      <c r="H29" s="16">
        <v>38</v>
      </c>
      <c r="I29" s="16">
        <v>37</v>
      </c>
      <c r="J29" s="16">
        <v>36</v>
      </c>
      <c r="K29" s="16">
        <v>35</v>
      </c>
      <c r="L29" s="16">
        <v>34</v>
      </c>
      <c r="M29" s="16">
        <v>33</v>
      </c>
      <c r="N29" s="16">
        <v>32</v>
      </c>
      <c r="O29" s="17"/>
      <c r="P29" s="16">
        <v>31</v>
      </c>
      <c r="Q29" s="16">
        <v>30</v>
      </c>
      <c r="R29" s="16">
        <v>29</v>
      </c>
      <c r="S29" s="16">
        <v>28</v>
      </c>
      <c r="T29" s="16">
        <v>27</v>
      </c>
      <c r="U29" s="16">
        <v>26</v>
      </c>
      <c r="V29" s="16">
        <v>25</v>
      </c>
      <c r="W29" s="16">
        <v>24</v>
      </c>
      <c r="X29" s="16">
        <v>23</v>
      </c>
      <c r="Y29" s="16">
        <v>22</v>
      </c>
      <c r="Z29" s="16">
        <v>21</v>
      </c>
      <c r="AA29" s="16">
        <v>20</v>
      </c>
      <c r="AB29" s="16">
        <v>19</v>
      </c>
      <c r="AC29" s="16">
        <v>18</v>
      </c>
      <c r="AD29" s="16">
        <v>17</v>
      </c>
      <c r="AE29" s="16">
        <v>16</v>
      </c>
      <c r="AF29" s="16">
        <v>15</v>
      </c>
      <c r="AG29" s="16">
        <v>14</v>
      </c>
      <c r="AH29" s="16">
        <v>13</v>
      </c>
      <c r="AI29" s="18"/>
      <c r="AJ29" s="16">
        <v>12</v>
      </c>
      <c r="AK29" s="16">
        <v>11</v>
      </c>
      <c r="AL29" s="16">
        <v>10</v>
      </c>
      <c r="AM29" s="16">
        <v>9</v>
      </c>
      <c r="AN29" s="16">
        <v>8</v>
      </c>
      <c r="AO29" s="16">
        <v>7</v>
      </c>
      <c r="AP29" s="16">
        <v>6</v>
      </c>
      <c r="AQ29" s="16">
        <v>5</v>
      </c>
      <c r="AR29" s="16">
        <v>4</v>
      </c>
      <c r="AS29" s="16">
        <v>3</v>
      </c>
      <c r="AT29" s="16">
        <v>2</v>
      </c>
      <c r="AW29" s="21" t="s">
        <v>32</v>
      </c>
      <c r="AY29" s="1">
        <v>41</v>
      </c>
    </row>
    <row r="30" spans="1:51">
      <c r="A30" s="21"/>
      <c r="D30" s="19">
        <v>169</v>
      </c>
      <c r="E30" s="19">
        <v>167</v>
      </c>
      <c r="F30" s="19">
        <v>165</v>
      </c>
      <c r="G30" s="19">
        <v>163</v>
      </c>
      <c r="H30" s="19">
        <v>161</v>
      </c>
      <c r="I30" s="19">
        <v>159</v>
      </c>
      <c r="J30" s="19">
        <v>157</v>
      </c>
      <c r="K30" s="19">
        <v>155</v>
      </c>
      <c r="L30" s="19">
        <v>153</v>
      </c>
      <c r="M30" s="19">
        <v>151</v>
      </c>
      <c r="N30" s="19">
        <v>149</v>
      </c>
      <c r="O30" s="17"/>
      <c r="P30" s="19">
        <v>147</v>
      </c>
      <c r="Q30" s="19">
        <v>145</v>
      </c>
      <c r="R30" s="19">
        <v>143</v>
      </c>
      <c r="S30" s="19">
        <v>141</v>
      </c>
      <c r="T30" s="19">
        <v>139</v>
      </c>
      <c r="U30" s="19">
        <v>137</v>
      </c>
      <c r="V30" s="19">
        <v>135</v>
      </c>
      <c r="W30" s="19">
        <v>133</v>
      </c>
      <c r="X30" s="19">
        <v>131</v>
      </c>
      <c r="Y30" s="19">
        <v>129</v>
      </c>
      <c r="Z30" s="19">
        <v>130</v>
      </c>
      <c r="AA30" s="19">
        <v>132</v>
      </c>
      <c r="AB30" s="19">
        <v>134</v>
      </c>
      <c r="AC30" s="19">
        <v>136</v>
      </c>
      <c r="AD30" s="19">
        <v>138</v>
      </c>
      <c r="AE30" s="19">
        <v>140</v>
      </c>
      <c r="AF30" s="19">
        <v>142</v>
      </c>
      <c r="AG30" s="19">
        <v>144</v>
      </c>
      <c r="AH30" s="19">
        <v>146</v>
      </c>
      <c r="AI30" s="18"/>
      <c r="AJ30" s="19">
        <v>148</v>
      </c>
      <c r="AK30" s="19">
        <v>150</v>
      </c>
      <c r="AL30" s="19">
        <v>152</v>
      </c>
      <c r="AM30" s="19">
        <v>154</v>
      </c>
      <c r="AN30" s="19">
        <v>156</v>
      </c>
      <c r="AO30" s="19">
        <v>158</v>
      </c>
      <c r="AP30" s="19">
        <v>160</v>
      </c>
      <c r="AQ30" s="19">
        <v>162</v>
      </c>
      <c r="AR30" s="19">
        <v>164</v>
      </c>
      <c r="AS30" s="19">
        <v>166</v>
      </c>
      <c r="AT30" s="19">
        <v>168</v>
      </c>
      <c r="AW30" s="21"/>
    </row>
    <row r="31" spans="1:51" ht="63.95" customHeight="1">
      <c r="A31" s="21"/>
      <c r="D31" s="20" t="e">
        <f>_xlfn.XLOOKUP(D30,人员名单!$E:$E,人员名单!$B:$B)</f>
        <v>#N/A</v>
      </c>
      <c r="E31" s="20" t="e">
        <f>_xlfn.XLOOKUP(E30,人员名单!$E:$E,人员名单!$B:$B)</f>
        <v>#N/A</v>
      </c>
      <c r="F31" s="20" t="e">
        <f>_xlfn.XLOOKUP(F30,人员名单!$E:$E,人员名单!$B:$B)</f>
        <v>#N/A</v>
      </c>
      <c r="G31" s="20" t="e">
        <f>_xlfn.XLOOKUP(G30,人员名单!$E:$E,人员名单!$B:$B)</f>
        <v>#N/A</v>
      </c>
      <c r="H31" s="20" t="e">
        <f>_xlfn.XLOOKUP(H30,人员名单!$E:$E,人员名单!$B:$B)</f>
        <v>#N/A</v>
      </c>
      <c r="I31" s="20" t="e">
        <f>_xlfn.XLOOKUP(I30,人员名单!$E:$E,人员名单!$B:$B)</f>
        <v>#N/A</v>
      </c>
      <c r="J31" s="20" t="e">
        <f>_xlfn.XLOOKUP(J30,人员名单!$E:$E,人员名单!$B:$B)</f>
        <v>#N/A</v>
      </c>
      <c r="K31" s="20" t="e">
        <f>_xlfn.XLOOKUP(K30,人员名单!$E:$E,人员名单!$B:$B)</f>
        <v>#N/A</v>
      </c>
      <c r="L31" s="20" t="e">
        <f>_xlfn.XLOOKUP(L30,人员名单!$E:$E,人员名单!$B:$B)</f>
        <v>#N/A</v>
      </c>
      <c r="M31" s="20" t="e">
        <f>_xlfn.XLOOKUP(M30,人员名单!$E:$E,人员名单!$B:$B)</f>
        <v>#N/A</v>
      </c>
      <c r="N31" s="20" t="e">
        <f>_xlfn.XLOOKUP(N30,人员名单!$E:$E,人员名单!$B:$B)</f>
        <v>#N/A</v>
      </c>
      <c r="O31" s="20"/>
      <c r="P31" s="20" t="e">
        <f>_xlfn.XLOOKUP(P30,人员名单!$E:$E,人员名单!$B:$B)</f>
        <v>#N/A</v>
      </c>
      <c r="Q31" s="20" t="e">
        <f>_xlfn.XLOOKUP(Q30,人员名单!$E:$E,人员名单!$B:$B)</f>
        <v>#N/A</v>
      </c>
      <c r="R31" s="20" t="e">
        <f>_xlfn.XLOOKUP(R30,人员名单!$E:$E,人员名单!$B:$B)</f>
        <v>#N/A</v>
      </c>
      <c r="S31" s="20" t="e">
        <f>_xlfn.XLOOKUP(S30,人员名单!$E:$E,人员名单!$B:$B)</f>
        <v>#N/A</v>
      </c>
      <c r="T31" s="20" t="e">
        <f>_xlfn.XLOOKUP(T30,人员名单!$E:$E,人员名单!$B:$B)</f>
        <v>#N/A</v>
      </c>
      <c r="U31" s="20" t="e">
        <f>_xlfn.XLOOKUP(U30,人员名单!$E:$E,人员名单!$B:$B)</f>
        <v>#N/A</v>
      </c>
      <c r="V31" s="20" t="e">
        <f>_xlfn.XLOOKUP(V30,人员名单!$E:$E,人员名单!$B:$B)</f>
        <v>#N/A</v>
      </c>
      <c r="W31" s="20" t="e">
        <f>_xlfn.XLOOKUP(W30,人员名单!$E:$E,人员名单!$B:$B)</f>
        <v>#N/A</v>
      </c>
      <c r="X31" s="20" t="e">
        <f>_xlfn.XLOOKUP(X30,人员名单!$E:$E,人员名单!$B:$B)</f>
        <v>#N/A</v>
      </c>
      <c r="Y31" s="20" t="e">
        <f>_xlfn.XLOOKUP(Y30,人员名单!$E:$E,人员名单!$B:$B)</f>
        <v>#N/A</v>
      </c>
      <c r="Z31" s="20" t="e">
        <f>_xlfn.XLOOKUP(Z30,人员名单!$E:$E,人员名单!$B:$B)</f>
        <v>#N/A</v>
      </c>
      <c r="AA31" s="20" t="e">
        <f>_xlfn.XLOOKUP(AA30,人员名单!$E:$E,人员名单!$B:$B)</f>
        <v>#N/A</v>
      </c>
      <c r="AB31" s="20" t="e">
        <f>_xlfn.XLOOKUP(AB30,人员名单!$E:$E,人员名单!$B:$B)</f>
        <v>#N/A</v>
      </c>
      <c r="AC31" s="20" t="e">
        <f>_xlfn.XLOOKUP(AC30,人员名单!$E:$E,人员名单!$B:$B)</f>
        <v>#N/A</v>
      </c>
      <c r="AD31" s="20" t="e">
        <f>_xlfn.XLOOKUP(AD30,人员名单!$E:$E,人员名单!$B:$B)</f>
        <v>#N/A</v>
      </c>
      <c r="AE31" s="20" t="e">
        <f>_xlfn.XLOOKUP(AE30,人员名单!$E:$E,人员名单!$B:$B)</f>
        <v>#N/A</v>
      </c>
      <c r="AF31" s="20" t="e">
        <f>_xlfn.XLOOKUP(AF30,人员名单!$E:$E,人员名单!$B:$B)</f>
        <v>#N/A</v>
      </c>
      <c r="AG31" s="20" t="e">
        <f>_xlfn.XLOOKUP(AG30,人员名单!$E:$E,人员名单!$B:$B)</f>
        <v>#N/A</v>
      </c>
      <c r="AH31" s="20" t="e">
        <f>_xlfn.XLOOKUP(AH30,人员名单!$E:$E,人员名单!$B:$B)</f>
        <v>#N/A</v>
      </c>
      <c r="AI31" s="20"/>
      <c r="AJ31" s="20" t="e">
        <f>_xlfn.XLOOKUP(AJ30,人员名单!$E:$E,人员名单!$B:$B)</f>
        <v>#N/A</v>
      </c>
      <c r="AK31" s="20" t="e">
        <f>_xlfn.XLOOKUP(AK30,人员名单!$E:$E,人员名单!$B:$B)</f>
        <v>#N/A</v>
      </c>
      <c r="AL31" s="20" t="e">
        <f>_xlfn.XLOOKUP(AL30,人员名单!$E:$E,人员名单!$B:$B)</f>
        <v>#N/A</v>
      </c>
      <c r="AM31" s="20" t="e">
        <f>_xlfn.XLOOKUP(AM30,人员名单!$E:$E,人员名单!$B:$B)</f>
        <v>#N/A</v>
      </c>
      <c r="AN31" s="20" t="e">
        <f>_xlfn.XLOOKUP(AN30,人员名单!$E:$E,人员名单!$B:$B)</f>
        <v>#N/A</v>
      </c>
      <c r="AO31" s="20" t="e">
        <f>_xlfn.XLOOKUP(AO30,人员名单!$E:$E,人员名单!$B:$B)</f>
        <v>#N/A</v>
      </c>
      <c r="AP31" s="20" t="e">
        <f>_xlfn.XLOOKUP(AP30,人员名单!$E:$E,人员名单!$B:$B)</f>
        <v>#N/A</v>
      </c>
      <c r="AQ31" s="20" t="e">
        <f>_xlfn.XLOOKUP(AQ30,人员名单!$E:$E,人员名单!$B:$B)</f>
        <v>#N/A</v>
      </c>
      <c r="AR31" s="20" t="e">
        <f>_xlfn.XLOOKUP(AR30,人员名单!$E:$E,人员名单!$B:$B)</f>
        <v>#N/A</v>
      </c>
      <c r="AS31" s="20" t="e">
        <f>_xlfn.XLOOKUP(AS30,人员名单!$E:$E,人员名单!$B:$B)</f>
        <v>#N/A</v>
      </c>
      <c r="AT31" s="20" t="e">
        <f>_xlfn.XLOOKUP(AT30,人员名单!$E:$E,人员名单!$B:$B)</f>
        <v>#N/A</v>
      </c>
      <c r="AW31" s="21"/>
    </row>
    <row r="32" spans="1:51">
      <c r="D32" s="1" t="s">
        <v>33</v>
      </c>
      <c r="M32" s="14"/>
      <c r="N32" s="14" t="s">
        <v>34</v>
      </c>
      <c r="O32" s="17"/>
      <c r="AI32" s="18"/>
      <c r="AJ32" s="1" t="s">
        <v>33</v>
      </c>
      <c r="AT32" s="1" t="s">
        <v>34</v>
      </c>
    </row>
    <row r="33" spans="1:53">
      <c r="A33" s="15" t="s">
        <v>35</v>
      </c>
      <c r="C33" s="16">
        <v>44</v>
      </c>
      <c r="D33" s="16">
        <v>43</v>
      </c>
      <c r="E33" s="16">
        <v>42</v>
      </c>
      <c r="F33" s="16">
        <v>41</v>
      </c>
      <c r="G33" s="16">
        <v>40</v>
      </c>
      <c r="H33" s="16">
        <v>39</v>
      </c>
      <c r="I33" s="16">
        <v>38</v>
      </c>
      <c r="J33" s="16">
        <v>37</v>
      </c>
      <c r="K33" s="16">
        <v>36</v>
      </c>
      <c r="L33" s="16">
        <v>35</v>
      </c>
      <c r="M33" s="16">
        <v>34</v>
      </c>
      <c r="N33" s="16">
        <v>33</v>
      </c>
      <c r="O33" s="17"/>
      <c r="P33" s="16">
        <v>32</v>
      </c>
      <c r="Q33" s="16">
        <v>31</v>
      </c>
      <c r="R33" s="16">
        <v>30</v>
      </c>
      <c r="S33" s="16">
        <v>29</v>
      </c>
      <c r="T33" s="16">
        <v>28</v>
      </c>
      <c r="U33" s="16">
        <v>27</v>
      </c>
      <c r="V33" s="16">
        <v>26</v>
      </c>
      <c r="W33" s="16">
        <v>25</v>
      </c>
      <c r="X33" s="16">
        <v>24</v>
      </c>
      <c r="Y33" s="16">
        <v>23</v>
      </c>
      <c r="Z33" s="16">
        <v>22</v>
      </c>
      <c r="AA33" s="16">
        <v>21</v>
      </c>
      <c r="AB33" s="16">
        <v>20</v>
      </c>
      <c r="AC33" s="16">
        <v>19</v>
      </c>
      <c r="AD33" s="16">
        <v>18</v>
      </c>
      <c r="AE33" s="16">
        <v>17</v>
      </c>
      <c r="AF33" s="16">
        <v>16</v>
      </c>
      <c r="AG33" s="16">
        <v>15</v>
      </c>
      <c r="AH33" s="16">
        <v>14</v>
      </c>
      <c r="AI33" s="18"/>
      <c r="AJ33" s="16">
        <v>13</v>
      </c>
      <c r="AK33" s="16">
        <v>12</v>
      </c>
      <c r="AL33" s="16">
        <v>11</v>
      </c>
      <c r="AM33" s="16">
        <v>10</v>
      </c>
      <c r="AN33" s="16">
        <v>9</v>
      </c>
      <c r="AO33" s="16">
        <v>8</v>
      </c>
      <c r="AP33" s="16">
        <v>7</v>
      </c>
      <c r="AQ33" s="16">
        <v>6</v>
      </c>
      <c r="AR33" s="16">
        <v>5</v>
      </c>
      <c r="AS33" s="16">
        <v>4</v>
      </c>
      <c r="AT33" s="16">
        <v>3</v>
      </c>
      <c r="AU33" s="16">
        <v>2</v>
      </c>
      <c r="AW33" s="15" t="s">
        <v>35</v>
      </c>
      <c r="AY33" s="1">
        <v>43</v>
      </c>
    </row>
    <row r="34" spans="1:53">
      <c r="A34" s="15"/>
      <c r="C34" s="19">
        <v>212</v>
      </c>
      <c r="D34" s="19">
        <v>210</v>
      </c>
      <c r="E34" s="19">
        <v>208</v>
      </c>
      <c r="F34" s="19">
        <v>206</v>
      </c>
      <c r="G34" s="19">
        <v>204</v>
      </c>
      <c r="H34" s="19">
        <v>202</v>
      </c>
      <c r="I34" s="19">
        <v>200</v>
      </c>
      <c r="J34" s="19">
        <v>198</v>
      </c>
      <c r="K34" s="19">
        <v>196</v>
      </c>
      <c r="L34" s="19">
        <v>194</v>
      </c>
      <c r="M34" s="19">
        <v>192</v>
      </c>
      <c r="N34" s="19">
        <v>190</v>
      </c>
      <c r="O34" s="17"/>
      <c r="P34" s="19">
        <v>188</v>
      </c>
      <c r="Q34" s="19">
        <v>186</v>
      </c>
      <c r="R34" s="19">
        <v>184</v>
      </c>
      <c r="S34" s="19">
        <v>182</v>
      </c>
      <c r="T34" s="19">
        <v>180</v>
      </c>
      <c r="U34" s="19">
        <v>178</v>
      </c>
      <c r="V34" s="19">
        <v>176</v>
      </c>
      <c r="W34" s="19">
        <v>174</v>
      </c>
      <c r="X34" s="19">
        <v>172</v>
      </c>
      <c r="Y34" s="19">
        <v>170</v>
      </c>
      <c r="Z34" s="19">
        <v>171</v>
      </c>
      <c r="AA34" s="19">
        <v>173</v>
      </c>
      <c r="AB34" s="19">
        <v>175</v>
      </c>
      <c r="AC34" s="19">
        <v>177</v>
      </c>
      <c r="AD34" s="19">
        <v>179</v>
      </c>
      <c r="AE34" s="19">
        <v>181</v>
      </c>
      <c r="AF34" s="19">
        <v>183</v>
      </c>
      <c r="AG34" s="19">
        <v>185</v>
      </c>
      <c r="AH34" s="19">
        <v>187</v>
      </c>
      <c r="AI34" s="18"/>
      <c r="AJ34" s="19">
        <v>189</v>
      </c>
      <c r="AK34" s="19">
        <v>191</v>
      </c>
      <c r="AL34" s="19">
        <v>193</v>
      </c>
      <c r="AM34" s="19">
        <v>195</v>
      </c>
      <c r="AN34" s="19">
        <v>197</v>
      </c>
      <c r="AO34" s="19">
        <v>199</v>
      </c>
      <c r="AP34" s="19">
        <v>201</v>
      </c>
      <c r="AQ34" s="19">
        <v>203</v>
      </c>
      <c r="AR34" s="19">
        <v>205</v>
      </c>
      <c r="AS34" s="19">
        <v>207</v>
      </c>
      <c r="AT34" s="19">
        <v>209</v>
      </c>
      <c r="AU34" s="19">
        <v>211</v>
      </c>
      <c r="AW34" s="15"/>
    </row>
    <row r="35" spans="1:53" ht="50.1" customHeight="1">
      <c r="A35" s="15"/>
      <c r="C35" s="20" t="e">
        <f>_xlfn.XLOOKUP(C34,人员名单!$E:$E,人员名单!$B:$B)</f>
        <v>#N/A</v>
      </c>
      <c r="D35" s="20" t="e">
        <f>_xlfn.XLOOKUP(D34,人员名单!$E:$E,人员名单!$B:$B)</f>
        <v>#N/A</v>
      </c>
      <c r="E35" s="20" t="e">
        <f>_xlfn.XLOOKUP(E34,人员名单!$E:$E,人员名单!$B:$B)</f>
        <v>#N/A</v>
      </c>
      <c r="F35" s="20" t="e">
        <f>_xlfn.XLOOKUP(F34,人员名单!$E:$E,人员名单!$B:$B)</f>
        <v>#N/A</v>
      </c>
      <c r="G35" s="20" t="e">
        <f>_xlfn.XLOOKUP(G34,人员名单!$E:$E,人员名单!$B:$B)</f>
        <v>#N/A</v>
      </c>
      <c r="H35" s="20" t="e">
        <f>_xlfn.XLOOKUP(H34,人员名单!$E:$E,人员名单!$B:$B)</f>
        <v>#N/A</v>
      </c>
      <c r="I35" s="20" t="e">
        <f>_xlfn.XLOOKUP(I34,人员名单!$E:$E,人员名单!$B:$B)</f>
        <v>#N/A</v>
      </c>
      <c r="J35" s="20" t="e">
        <f>_xlfn.XLOOKUP(J34,人员名单!$E:$E,人员名单!$B:$B)</f>
        <v>#N/A</v>
      </c>
      <c r="K35" s="20" t="e">
        <f>_xlfn.XLOOKUP(K34,人员名单!$E:$E,人员名单!$B:$B)</f>
        <v>#N/A</v>
      </c>
      <c r="L35" s="20" t="e">
        <f>_xlfn.XLOOKUP(L34,人员名单!$E:$E,人员名单!$B:$B)</f>
        <v>#N/A</v>
      </c>
      <c r="M35" s="20" t="e">
        <f>_xlfn.XLOOKUP(M34,人员名单!$E:$E,人员名单!$B:$B)</f>
        <v>#N/A</v>
      </c>
      <c r="N35" s="20" t="e">
        <f>_xlfn.XLOOKUP(N34,人员名单!$E:$E,人员名单!$B:$B)</f>
        <v>#N/A</v>
      </c>
      <c r="O35" s="20"/>
      <c r="P35" s="20" t="e">
        <f>_xlfn.XLOOKUP(P34,人员名单!$E:$E,人员名单!$B:$B)</f>
        <v>#N/A</v>
      </c>
      <c r="Q35" s="20" t="e">
        <f>_xlfn.XLOOKUP(Q34,人员名单!$E:$E,人员名单!$B:$B)</f>
        <v>#N/A</v>
      </c>
      <c r="R35" s="20" t="e">
        <f>_xlfn.XLOOKUP(R34,人员名单!$E:$E,人员名单!$B:$B)</f>
        <v>#N/A</v>
      </c>
      <c r="S35" s="20" t="e">
        <f>_xlfn.XLOOKUP(S34,人员名单!$E:$E,人员名单!$B:$B)</f>
        <v>#N/A</v>
      </c>
      <c r="T35" s="20" t="e">
        <f>_xlfn.XLOOKUP(T34,人员名单!$E:$E,人员名单!$B:$B)</f>
        <v>#N/A</v>
      </c>
      <c r="U35" s="20" t="e">
        <f>_xlfn.XLOOKUP(U34,人员名单!$E:$E,人员名单!$B:$B)</f>
        <v>#N/A</v>
      </c>
      <c r="V35" s="20" t="e">
        <f>_xlfn.XLOOKUP(V34,人员名单!$E:$E,人员名单!$B:$B)</f>
        <v>#N/A</v>
      </c>
      <c r="W35" s="20" t="e">
        <f>_xlfn.XLOOKUP(W34,人员名单!$E:$E,人员名单!$B:$B)</f>
        <v>#N/A</v>
      </c>
      <c r="X35" s="20" t="e">
        <f>_xlfn.XLOOKUP(X34,人员名单!$E:$E,人员名单!$B:$B)</f>
        <v>#N/A</v>
      </c>
      <c r="Y35" s="20" t="e">
        <f>_xlfn.XLOOKUP(Y34,人员名单!$E:$E,人员名单!$B:$B)</f>
        <v>#N/A</v>
      </c>
      <c r="Z35" s="20" t="e">
        <f>_xlfn.XLOOKUP(Z34,人员名单!$E:$E,人员名单!$B:$B)</f>
        <v>#N/A</v>
      </c>
      <c r="AA35" s="20" t="e">
        <f>_xlfn.XLOOKUP(AA34,人员名单!$E:$E,人员名单!$B:$B)</f>
        <v>#N/A</v>
      </c>
      <c r="AB35" s="20" t="e">
        <f>_xlfn.XLOOKUP(AB34,人员名单!$E:$E,人员名单!$B:$B)</f>
        <v>#N/A</v>
      </c>
      <c r="AC35" s="20" t="e">
        <f>_xlfn.XLOOKUP(AC34,人员名单!$E:$E,人员名单!$B:$B)</f>
        <v>#N/A</v>
      </c>
      <c r="AD35" s="20" t="e">
        <f>_xlfn.XLOOKUP(AD34,人员名单!$E:$E,人员名单!$B:$B)</f>
        <v>#N/A</v>
      </c>
      <c r="AE35" s="20" t="e">
        <f>_xlfn.XLOOKUP(AE34,人员名单!$E:$E,人员名单!$B:$B)</f>
        <v>#N/A</v>
      </c>
      <c r="AF35" s="20" t="e">
        <f>_xlfn.XLOOKUP(AF34,人员名单!$E:$E,人员名单!$B:$B)</f>
        <v>#N/A</v>
      </c>
      <c r="AG35" s="20" t="e">
        <f>_xlfn.XLOOKUP(AG34,人员名单!$E:$E,人员名单!$B:$B)</f>
        <v>#N/A</v>
      </c>
      <c r="AH35" s="20" t="e">
        <f>_xlfn.XLOOKUP(AH34,人员名单!$E:$E,人员名单!$B:$B)</f>
        <v>#N/A</v>
      </c>
      <c r="AI35" s="20"/>
      <c r="AJ35" s="20" t="e">
        <f>_xlfn.XLOOKUP(AJ34,人员名单!$E:$E,人员名单!$B:$B)</f>
        <v>#N/A</v>
      </c>
      <c r="AK35" s="20" t="e">
        <f>_xlfn.XLOOKUP(AK34,人员名单!$E:$E,人员名单!$B:$B)</f>
        <v>#N/A</v>
      </c>
      <c r="AL35" s="20" t="e">
        <f>_xlfn.XLOOKUP(AL34,人员名单!$E:$E,人员名单!$B:$B)</f>
        <v>#N/A</v>
      </c>
      <c r="AM35" s="20" t="e">
        <f>_xlfn.XLOOKUP(AM34,人员名单!$E:$E,人员名单!$B:$B)</f>
        <v>#N/A</v>
      </c>
      <c r="AN35" s="20" t="e">
        <f>_xlfn.XLOOKUP(AN34,人员名单!$E:$E,人员名单!$B:$B)</f>
        <v>#N/A</v>
      </c>
      <c r="AO35" s="20" t="e">
        <f>_xlfn.XLOOKUP(AO34,人员名单!$E:$E,人员名单!$B:$B)</f>
        <v>#N/A</v>
      </c>
      <c r="AP35" s="20" t="e">
        <f>_xlfn.XLOOKUP(AP34,人员名单!$E:$E,人员名单!$B:$B)</f>
        <v>#N/A</v>
      </c>
      <c r="AQ35" s="20" t="e">
        <f>_xlfn.XLOOKUP(AQ34,人员名单!$E:$E,人员名单!$B:$B)</f>
        <v>#N/A</v>
      </c>
      <c r="AR35" s="20" t="e">
        <f>_xlfn.XLOOKUP(AR34,人员名单!$E:$E,人员名单!$B:$B)</f>
        <v>#N/A</v>
      </c>
      <c r="AS35" s="20" t="e">
        <f>_xlfn.XLOOKUP(AS34,人员名单!$E:$E,人员名单!$B:$B)</f>
        <v>#N/A</v>
      </c>
      <c r="AT35" s="20" t="e">
        <f>_xlfn.XLOOKUP(AT34,人员名单!$E:$E,人员名单!$B:$B)</f>
        <v>#N/A</v>
      </c>
      <c r="AU35" s="20" t="e">
        <f>_xlfn.XLOOKUP(AU34,人员名单!$E:$E,人员名单!$B:$B)</f>
        <v>#N/A</v>
      </c>
      <c r="AW35" s="15"/>
    </row>
    <row r="36" spans="1:53">
      <c r="M36" s="14"/>
      <c r="N36" s="14"/>
      <c r="O36" s="17"/>
      <c r="AI36" s="18"/>
    </row>
    <row r="37" spans="1:53">
      <c r="A37" s="21" t="s">
        <v>36</v>
      </c>
      <c r="D37" s="16">
        <v>42</v>
      </c>
      <c r="E37" s="16">
        <v>41</v>
      </c>
      <c r="F37" s="16">
        <v>40</v>
      </c>
      <c r="G37" s="16">
        <v>39</v>
      </c>
      <c r="H37" s="16">
        <v>38</v>
      </c>
      <c r="I37" s="16">
        <v>37</v>
      </c>
      <c r="J37" s="16">
        <v>36</v>
      </c>
      <c r="K37" s="16">
        <v>35</v>
      </c>
      <c r="L37" s="16">
        <v>34</v>
      </c>
      <c r="M37" s="16">
        <v>33</v>
      </c>
      <c r="N37" s="16">
        <v>32</v>
      </c>
      <c r="O37" s="17"/>
      <c r="P37" s="16">
        <v>31</v>
      </c>
      <c r="Q37" s="16">
        <v>30</v>
      </c>
      <c r="R37" s="16">
        <v>29</v>
      </c>
      <c r="S37" s="16">
        <v>28</v>
      </c>
      <c r="T37" s="16">
        <v>27</v>
      </c>
      <c r="U37" s="16">
        <v>26</v>
      </c>
      <c r="V37" s="16">
        <v>25</v>
      </c>
      <c r="W37" s="16">
        <v>24</v>
      </c>
      <c r="X37" s="16">
        <v>23</v>
      </c>
      <c r="Y37" s="16">
        <v>22</v>
      </c>
      <c r="Z37" s="16">
        <v>21</v>
      </c>
      <c r="AA37" s="16">
        <v>20</v>
      </c>
      <c r="AB37" s="16">
        <v>19</v>
      </c>
      <c r="AC37" s="16">
        <v>18</v>
      </c>
      <c r="AD37" s="16">
        <v>17</v>
      </c>
      <c r="AE37" s="16">
        <v>16</v>
      </c>
      <c r="AF37" s="16">
        <v>15</v>
      </c>
      <c r="AG37" s="16">
        <v>14</v>
      </c>
      <c r="AH37" s="16">
        <v>13</v>
      </c>
      <c r="AI37" s="18"/>
      <c r="AJ37" s="16">
        <v>12</v>
      </c>
      <c r="AK37" s="16">
        <v>11</v>
      </c>
      <c r="AL37" s="16">
        <v>10</v>
      </c>
      <c r="AM37" s="16">
        <v>9</v>
      </c>
      <c r="AN37" s="16">
        <v>8</v>
      </c>
      <c r="AO37" s="16">
        <v>7</v>
      </c>
      <c r="AP37" s="16">
        <v>6</v>
      </c>
      <c r="AQ37" s="16">
        <v>5</v>
      </c>
      <c r="AR37" s="16">
        <v>4</v>
      </c>
      <c r="AS37" s="16">
        <v>3</v>
      </c>
      <c r="AT37" s="16">
        <v>2</v>
      </c>
      <c r="AW37" s="21" t="s">
        <v>36</v>
      </c>
      <c r="AY37" s="1">
        <v>41</v>
      </c>
    </row>
    <row r="38" spans="1:53">
      <c r="A38" s="21"/>
      <c r="D38" s="23">
        <v>253</v>
      </c>
      <c r="E38" s="23">
        <v>251</v>
      </c>
      <c r="F38" s="23">
        <v>249</v>
      </c>
      <c r="G38" s="23">
        <v>247</v>
      </c>
      <c r="H38" s="23">
        <v>245</v>
      </c>
      <c r="I38" s="23">
        <v>243</v>
      </c>
      <c r="J38" s="23">
        <v>241</v>
      </c>
      <c r="K38" s="23">
        <v>239</v>
      </c>
      <c r="L38" s="23">
        <v>237</v>
      </c>
      <c r="M38" s="23">
        <v>235</v>
      </c>
      <c r="N38" s="23">
        <v>233</v>
      </c>
      <c r="O38" s="17"/>
      <c r="P38" s="23">
        <v>231</v>
      </c>
      <c r="Q38" s="23">
        <v>229</v>
      </c>
      <c r="R38" s="23">
        <v>227</v>
      </c>
      <c r="S38" s="23">
        <v>225</v>
      </c>
      <c r="T38" s="23">
        <v>223</v>
      </c>
      <c r="U38" s="23">
        <v>221</v>
      </c>
      <c r="V38" s="23">
        <v>219</v>
      </c>
      <c r="W38" s="23">
        <v>217</v>
      </c>
      <c r="X38" s="23">
        <v>215</v>
      </c>
      <c r="Y38" s="23">
        <v>213</v>
      </c>
      <c r="Z38" s="23">
        <v>214</v>
      </c>
      <c r="AA38" s="23">
        <v>216</v>
      </c>
      <c r="AB38" s="23">
        <v>218</v>
      </c>
      <c r="AC38" s="23">
        <v>220</v>
      </c>
      <c r="AD38" s="23">
        <v>222</v>
      </c>
      <c r="AE38" s="23">
        <v>224</v>
      </c>
      <c r="AF38" s="23">
        <v>226</v>
      </c>
      <c r="AG38" s="23">
        <v>228</v>
      </c>
      <c r="AH38" s="23">
        <v>230</v>
      </c>
      <c r="AI38" s="18"/>
      <c r="AJ38" s="23">
        <v>232</v>
      </c>
      <c r="AK38" s="23">
        <v>234</v>
      </c>
      <c r="AL38" s="23">
        <v>236</v>
      </c>
      <c r="AM38" s="23">
        <v>238</v>
      </c>
      <c r="AN38" s="23">
        <v>240</v>
      </c>
      <c r="AO38" s="23">
        <v>242</v>
      </c>
      <c r="AP38" s="23">
        <v>244</v>
      </c>
      <c r="AQ38" s="23">
        <v>246</v>
      </c>
      <c r="AR38" s="23">
        <v>248</v>
      </c>
      <c r="AS38" s="23">
        <v>250</v>
      </c>
      <c r="AT38" s="23">
        <v>252</v>
      </c>
      <c r="AW38" s="21"/>
      <c r="BA38" s="1">
        <v>30</v>
      </c>
    </row>
    <row r="39" spans="1:53" ht="66.95" customHeight="1">
      <c r="A39" s="21"/>
      <c r="D39" s="24" t="e">
        <f>_xlfn.XLOOKUP(D38,人员名单!$E:$E,人员名单!$B:$B)</f>
        <v>#N/A</v>
      </c>
      <c r="E39" s="24" t="e">
        <f>_xlfn.XLOOKUP(E38,人员名单!$E:$E,人员名单!$B:$B)</f>
        <v>#N/A</v>
      </c>
      <c r="F39" s="24" t="e">
        <f>_xlfn.XLOOKUP(F38,人员名单!$E:$E,人员名单!$B:$B)</f>
        <v>#N/A</v>
      </c>
      <c r="G39" s="24" t="e">
        <f>_xlfn.XLOOKUP(G38,人员名单!$E:$E,人员名单!$B:$B)</f>
        <v>#N/A</v>
      </c>
      <c r="H39" s="24" t="e">
        <f>_xlfn.XLOOKUP(H38,人员名单!$E:$E,人员名单!$B:$B)</f>
        <v>#N/A</v>
      </c>
      <c r="I39" s="25" t="e">
        <f>_xlfn.XLOOKUP(I38,人员名单!$E:$E,人员名单!$B:$B)</f>
        <v>#N/A</v>
      </c>
      <c r="J39" s="25" t="e">
        <f>_xlfn.XLOOKUP(J38,人员名单!$E:$E,人员名单!$B:$B)</f>
        <v>#N/A</v>
      </c>
      <c r="K39" s="25" t="e">
        <f>_xlfn.XLOOKUP(K38,人员名单!$E:$E,人员名单!$B:$B)</f>
        <v>#N/A</v>
      </c>
      <c r="L39" s="25" t="e">
        <f>_xlfn.XLOOKUP(L38,人员名单!$E:$E,人员名单!$B:$B)</f>
        <v>#N/A</v>
      </c>
      <c r="M39" s="25" t="e">
        <f>_xlfn.XLOOKUP(M38,人员名单!$E:$E,人员名单!$B:$B)</f>
        <v>#N/A</v>
      </c>
      <c r="N39" s="25" t="e">
        <f>_xlfn.XLOOKUP(N38,人员名单!$E:$E,人员名单!$B:$B)</f>
        <v>#N/A</v>
      </c>
      <c r="O39" s="20"/>
      <c r="P39" s="26" t="e">
        <f>_xlfn.XLOOKUP(P38,人员名单!$E:$E,人员名单!$B:$B)</f>
        <v>#N/A</v>
      </c>
      <c r="Q39" s="26" t="e">
        <f>_xlfn.XLOOKUP(Q38,人员名单!$E:$E,人员名单!$B:$B)</f>
        <v>#N/A</v>
      </c>
      <c r="R39" s="26" t="e">
        <f>_xlfn.XLOOKUP(R38,人员名单!$E:$E,人员名单!$B:$B)</f>
        <v>#N/A</v>
      </c>
      <c r="S39" s="20" t="e">
        <f>_xlfn.XLOOKUP(S38,人员名单!$E:$E,人员名单!$B:$B)</f>
        <v>#N/A</v>
      </c>
      <c r="T39" s="20" t="e">
        <f>_xlfn.XLOOKUP(T38,人员名单!$E:$E,人员名单!$B:$B)</f>
        <v>#N/A</v>
      </c>
      <c r="U39" s="20" t="e">
        <f>_xlfn.XLOOKUP(U38,人员名单!$E:$E,人员名单!$B:$B)</f>
        <v>#N/A</v>
      </c>
      <c r="V39" s="20" t="e">
        <f>_xlfn.XLOOKUP(V38,人员名单!$E:$E,人员名单!$B:$B)</f>
        <v>#N/A</v>
      </c>
      <c r="W39" s="20" t="e">
        <f>_xlfn.XLOOKUP(W38,人员名单!$E:$E,人员名单!$B:$B)</f>
        <v>#N/A</v>
      </c>
      <c r="X39" s="20" t="e">
        <f>_xlfn.XLOOKUP(X38,人员名单!$E:$E,人员名单!$B:$B)</f>
        <v>#N/A</v>
      </c>
      <c r="Y39" s="20" t="e">
        <f>_xlfn.XLOOKUP(Y38,人员名单!$E:$E,人员名单!$B:$B)</f>
        <v>#N/A</v>
      </c>
      <c r="Z39" s="20" t="e">
        <f>_xlfn.XLOOKUP(Z38,人员名单!$E:$E,人员名单!$B:$B)</f>
        <v>#N/A</v>
      </c>
      <c r="AA39" s="20" t="e">
        <f>_xlfn.XLOOKUP(AA38,人员名单!$E:$E,人员名单!$B:$B)</f>
        <v>#N/A</v>
      </c>
      <c r="AB39" s="20" t="e">
        <f>_xlfn.XLOOKUP(AB38,人员名单!$E:$E,人员名单!$B:$B)</f>
        <v>#N/A</v>
      </c>
      <c r="AC39" s="20" t="e">
        <f>_xlfn.XLOOKUP(AC38,人员名单!$E:$E,人员名单!$B:$B)</f>
        <v>#N/A</v>
      </c>
      <c r="AD39" s="20" t="e">
        <f>_xlfn.XLOOKUP(AD38,人员名单!$E:$E,人员名单!$B:$B)</f>
        <v>#N/A</v>
      </c>
      <c r="AE39" s="20" t="e">
        <f>_xlfn.XLOOKUP(AE38,人员名单!$E:$E,人员名单!$B:$B)</f>
        <v>#N/A</v>
      </c>
      <c r="AF39" s="20" t="e">
        <f>_xlfn.XLOOKUP(AF38,人员名单!$E:$E,人员名单!$B:$B)</f>
        <v>#N/A</v>
      </c>
      <c r="AG39" s="89" t="s">
        <v>37</v>
      </c>
      <c r="AH39" s="27" t="e">
        <f>_xlfn.XLOOKUP(AH38,人员名单!$E:$E,人员名单!$B:$B)</f>
        <v>#N/A</v>
      </c>
      <c r="AI39" s="20"/>
      <c r="AJ39" s="27" t="e">
        <f>_xlfn.XLOOKUP(AJ38,人员名单!$E:$E,人员名单!$B:$B)</f>
        <v>#N/A</v>
      </c>
      <c r="AK39" s="27" t="e">
        <f>_xlfn.XLOOKUP(AK38,人员名单!$E:$E,人员名单!$B:$B)</f>
        <v>#N/A</v>
      </c>
      <c r="AL39" s="28" t="e">
        <f>_xlfn.XLOOKUP(AL38,人员名单!$E:$E,人员名单!$B:$B)</f>
        <v>#N/A</v>
      </c>
      <c r="AM39" s="28" t="e">
        <f>_xlfn.XLOOKUP(AM38,人员名单!$E:$E,人员名单!$B:$B)</f>
        <v>#N/A</v>
      </c>
      <c r="AN39" s="28" t="e">
        <f>_xlfn.XLOOKUP(AN38,人员名单!$E:$E,人员名单!$B:$B)</f>
        <v>#N/A</v>
      </c>
      <c r="AO39" s="28" t="e">
        <f>_xlfn.XLOOKUP(AO38,人员名单!$E:$E,人员名单!$B:$B)</f>
        <v>#N/A</v>
      </c>
      <c r="AP39" s="28" t="e">
        <f>_xlfn.XLOOKUP(AP38,人员名单!$E:$E,人员名单!$B:$B)</f>
        <v>#N/A</v>
      </c>
      <c r="AQ39" s="29" t="e">
        <f>_xlfn.XLOOKUP(AQ38,人员名单!$E:$E,人员名单!$B:$B)</f>
        <v>#N/A</v>
      </c>
      <c r="AR39" s="29" t="e">
        <f>_xlfn.XLOOKUP(AR38,人员名单!$E:$E,人员名单!$B:$B)</f>
        <v>#N/A</v>
      </c>
      <c r="AS39" s="29" t="e">
        <f>_xlfn.XLOOKUP(AS38,人员名单!$E:$E,人员名单!$B:$B)</f>
        <v>#N/A</v>
      </c>
      <c r="AT39" s="29" t="e">
        <f>_xlfn.XLOOKUP(AT38,人员名单!$E:$E,人员名单!$B:$B)</f>
        <v>#N/A</v>
      </c>
      <c r="AW39" s="21"/>
    </row>
    <row r="40" spans="1:53">
      <c r="M40" s="14"/>
      <c r="N40" s="14"/>
      <c r="O40" s="17"/>
      <c r="AI40" s="18"/>
    </row>
    <row r="41" spans="1:53">
      <c r="A41" s="15" t="s">
        <v>38</v>
      </c>
      <c r="D41" s="16">
        <v>42</v>
      </c>
      <c r="E41" s="16">
        <v>41</v>
      </c>
      <c r="F41" s="16">
        <v>40</v>
      </c>
      <c r="G41" s="16">
        <v>39</v>
      </c>
      <c r="H41" s="16">
        <v>38</v>
      </c>
      <c r="I41" s="16">
        <v>37</v>
      </c>
      <c r="J41" s="16">
        <v>36</v>
      </c>
      <c r="K41" s="16">
        <v>35</v>
      </c>
      <c r="L41" s="16">
        <v>34</v>
      </c>
      <c r="M41" s="16">
        <v>33</v>
      </c>
      <c r="N41" s="16">
        <v>32</v>
      </c>
      <c r="O41" s="17"/>
      <c r="P41" s="16">
        <v>31</v>
      </c>
      <c r="Q41" s="16">
        <v>30</v>
      </c>
      <c r="R41" s="16">
        <v>29</v>
      </c>
      <c r="S41" s="16">
        <v>28</v>
      </c>
      <c r="T41" s="16">
        <v>27</v>
      </c>
      <c r="U41" s="16">
        <v>26</v>
      </c>
      <c r="V41" s="16">
        <v>25</v>
      </c>
      <c r="W41" s="16">
        <v>24</v>
      </c>
      <c r="X41" s="16">
        <v>23</v>
      </c>
      <c r="Y41" s="16">
        <v>22</v>
      </c>
      <c r="Z41" s="16">
        <v>21</v>
      </c>
      <c r="AA41" s="16">
        <v>20</v>
      </c>
      <c r="AB41" s="16">
        <v>19</v>
      </c>
      <c r="AC41" s="16">
        <v>18</v>
      </c>
      <c r="AD41" s="16">
        <v>17</v>
      </c>
      <c r="AE41" s="16">
        <v>16</v>
      </c>
      <c r="AF41" s="16">
        <v>15</v>
      </c>
      <c r="AG41" s="16">
        <v>14</v>
      </c>
      <c r="AH41" s="16">
        <v>13</v>
      </c>
      <c r="AI41" s="18"/>
      <c r="AJ41" s="16">
        <v>12</v>
      </c>
      <c r="AK41" s="16">
        <v>11</v>
      </c>
      <c r="AL41" s="16">
        <v>10</v>
      </c>
      <c r="AM41" s="16">
        <v>9</v>
      </c>
      <c r="AN41" s="16">
        <v>8</v>
      </c>
      <c r="AO41" s="16">
        <v>7</v>
      </c>
      <c r="AP41" s="16">
        <v>6</v>
      </c>
      <c r="AQ41" s="16">
        <v>5</v>
      </c>
      <c r="AR41" s="16">
        <v>4</v>
      </c>
      <c r="AS41" s="16">
        <v>3</v>
      </c>
      <c r="AT41" s="16">
        <v>2</v>
      </c>
      <c r="AW41" s="15" t="s">
        <v>38</v>
      </c>
      <c r="AY41" s="1">
        <v>41</v>
      </c>
    </row>
    <row r="42" spans="1:53">
      <c r="A42" s="15"/>
      <c r="D42" s="23">
        <v>294</v>
      </c>
      <c r="E42" s="23">
        <v>292</v>
      </c>
      <c r="F42" s="23">
        <v>290</v>
      </c>
      <c r="G42" s="23">
        <v>288</v>
      </c>
      <c r="H42" s="23">
        <v>286</v>
      </c>
      <c r="I42" s="23">
        <v>284</v>
      </c>
      <c r="J42" s="23">
        <v>282</v>
      </c>
      <c r="K42" s="23">
        <v>280</v>
      </c>
      <c r="L42" s="23">
        <v>278</v>
      </c>
      <c r="M42" s="23">
        <v>276</v>
      </c>
      <c r="N42" s="23">
        <v>274</v>
      </c>
      <c r="O42" s="17"/>
      <c r="P42" s="23">
        <v>272</v>
      </c>
      <c r="Q42" s="23">
        <v>270</v>
      </c>
      <c r="R42" s="23">
        <v>268</v>
      </c>
      <c r="S42" s="23">
        <v>266</v>
      </c>
      <c r="T42" s="23">
        <v>264</v>
      </c>
      <c r="U42" s="23">
        <v>262</v>
      </c>
      <c r="V42" s="23">
        <v>260</v>
      </c>
      <c r="W42" s="23">
        <v>258</v>
      </c>
      <c r="X42" s="23">
        <v>256</v>
      </c>
      <c r="Y42" s="23">
        <v>254</v>
      </c>
      <c r="Z42" s="23">
        <v>255</v>
      </c>
      <c r="AA42" s="23">
        <v>257</v>
      </c>
      <c r="AB42" s="23">
        <v>259</v>
      </c>
      <c r="AC42" s="23">
        <v>261</v>
      </c>
      <c r="AD42" s="23">
        <v>263</v>
      </c>
      <c r="AE42" s="23">
        <v>265</v>
      </c>
      <c r="AF42" s="23">
        <v>267</v>
      </c>
      <c r="AG42" s="23">
        <v>269</v>
      </c>
      <c r="AH42" s="23">
        <v>271</v>
      </c>
      <c r="AI42" s="18"/>
      <c r="AJ42" s="23">
        <v>273</v>
      </c>
      <c r="AK42" s="23">
        <v>275</v>
      </c>
      <c r="AL42" s="23">
        <v>277</v>
      </c>
      <c r="AM42" s="23">
        <v>279</v>
      </c>
      <c r="AN42" s="23">
        <v>281</v>
      </c>
      <c r="AO42" s="23">
        <v>283</v>
      </c>
      <c r="AP42" s="23">
        <v>285</v>
      </c>
      <c r="AQ42" s="23">
        <v>287</v>
      </c>
      <c r="AR42" s="23">
        <v>289</v>
      </c>
      <c r="AS42" s="23">
        <v>291</v>
      </c>
      <c r="AT42" s="23">
        <v>293</v>
      </c>
      <c r="AW42" s="15"/>
    </row>
    <row r="43" spans="1:53" ht="55.5">
      <c r="A43" s="15"/>
      <c r="D43" s="24" t="e">
        <f>_xlfn.XLOOKUP(D42,人员名单!$E:$E,人员名单!$B:$B)</f>
        <v>#N/A</v>
      </c>
      <c r="E43" s="24" t="e">
        <f>_xlfn.XLOOKUP(E42,人员名单!$E:$E,人员名单!$B:$B)</f>
        <v>#N/A</v>
      </c>
      <c r="F43" s="24" t="e">
        <f>_xlfn.XLOOKUP(F42,人员名单!$E:$E,人员名单!$B:$B)</f>
        <v>#N/A</v>
      </c>
      <c r="G43" s="24" t="e">
        <f>_xlfn.XLOOKUP(G42,人员名单!$E:$E,人员名单!$B:$B)</f>
        <v>#N/A</v>
      </c>
      <c r="H43" s="24" t="e">
        <f>_xlfn.XLOOKUP(H42,人员名单!$E:$E,人员名单!$B:$B)</f>
        <v>#N/A</v>
      </c>
      <c r="I43" s="25" t="e">
        <f>_xlfn.XLOOKUP(I42,人员名单!$E:$E,人员名单!$B:$B)</f>
        <v>#N/A</v>
      </c>
      <c r="J43" s="25" t="e">
        <f>_xlfn.XLOOKUP(J42,人员名单!$E:$E,人员名单!$B:$B)</f>
        <v>#N/A</v>
      </c>
      <c r="K43" s="25" t="e">
        <f>_xlfn.XLOOKUP(K42,人员名单!$E:$E,人员名单!$B:$B)</f>
        <v>#N/A</v>
      </c>
      <c r="L43" s="25" t="e">
        <f>_xlfn.XLOOKUP(L42,人员名单!$E:$E,人员名单!$B:$B)</f>
        <v>#N/A</v>
      </c>
      <c r="M43" s="25" t="e">
        <f>_xlfn.XLOOKUP(M42,人员名单!$E:$E,人员名单!$B:$B)</f>
        <v>#N/A</v>
      </c>
      <c r="N43" s="25" t="e">
        <f>_xlfn.XLOOKUP(N42,人员名单!$E:$E,人员名单!$B:$B)</f>
        <v>#N/A</v>
      </c>
      <c r="O43" s="20"/>
      <c r="P43" s="26" t="e">
        <f>_xlfn.XLOOKUP(P42,人员名单!$E:$E,人员名单!$B:$B)</f>
        <v>#N/A</v>
      </c>
      <c r="Q43" s="26" t="e">
        <f>_xlfn.XLOOKUP(Q42,人员名单!$E:$E,人员名单!$B:$B)</f>
        <v>#N/A</v>
      </c>
      <c r="R43" s="26" t="e">
        <f>_xlfn.XLOOKUP(R42,人员名单!$E:$E,人员名单!$B:$B)</f>
        <v>#N/A</v>
      </c>
      <c r="S43" s="26" t="e">
        <f>_xlfn.XLOOKUP(S42,人员名单!$E:$E,人员名单!$B:$B)</f>
        <v>#N/A</v>
      </c>
      <c r="T43" s="26" t="e">
        <f>_xlfn.XLOOKUP(T42,人员名单!$E:$E,人员名单!$B:$B)</f>
        <v>#N/A</v>
      </c>
      <c r="U43" s="26" t="e">
        <f>_xlfn.XLOOKUP(U42,人员名单!$E:$E,人员名单!$B:$B)</f>
        <v>#N/A</v>
      </c>
      <c r="V43" s="30" t="e">
        <f>_xlfn.XLOOKUP(V42,人员名单!$E:$E,人员名单!$B:$B)</f>
        <v>#N/A</v>
      </c>
      <c r="W43" s="30" t="e">
        <f>_xlfn.XLOOKUP(W42,人员名单!$E:$E,人员名单!$B:$B)</f>
        <v>#N/A</v>
      </c>
      <c r="X43" s="30" t="e">
        <f>_xlfn.XLOOKUP(X42,人员名单!$E:$E,人员名单!$B:$B)</f>
        <v>#N/A</v>
      </c>
      <c r="Y43" s="30" t="e">
        <f>_xlfn.XLOOKUP(Y42,人员名单!$E:$E,人员名单!$B:$B)</f>
        <v>#N/A</v>
      </c>
      <c r="Z43" s="30" t="e">
        <f>_xlfn.XLOOKUP(Z42,人员名单!$E:$E,人员名单!$B:$B)</f>
        <v>#N/A</v>
      </c>
      <c r="AA43" s="30" t="e">
        <f>_xlfn.XLOOKUP(AA42,人员名单!$E:$E,人员名单!$B:$B)</f>
        <v>#N/A</v>
      </c>
      <c r="AB43" s="30" t="e">
        <f>_xlfn.XLOOKUP(AB42,人员名单!$E:$E,人员名单!$B:$B)</f>
        <v>#N/A</v>
      </c>
      <c r="AC43" s="30" t="e">
        <f>_xlfn.XLOOKUP(AC42,人员名单!$E:$E,人员名单!$B:$B)</f>
        <v>#N/A</v>
      </c>
      <c r="AD43" s="30" t="e">
        <f>_xlfn.XLOOKUP(AD42,人员名单!$E:$E,人员名单!$B:$B)</f>
        <v>#N/A</v>
      </c>
      <c r="AE43" s="30" t="e">
        <f>_xlfn.XLOOKUP(AE42,人员名单!$E:$E,人员名单!$B:$B)</f>
        <v>#N/A</v>
      </c>
      <c r="AF43" s="27" t="e">
        <f>_xlfn.XLOOKUP(AF42,人员名单!$E:$E,人员名单!$B:$B)</f>
        <v>#N/A</v>
      </c>
      <c r="AG43" s="27" t="e">
        <f>_xlfn.XLOOKUP(AG42,人员名单!$E:$E,人员名单!$B:$B)</f>
        <v>#N/A</v>
      </c>
      <c r="AH43" s="27" t="e">
        <f>_xlfn.XLOOKUP(AH42,人员名单!$E:$E,人员名单!$B:$B)</f>
        <v>#N/A</v>
      </c>
      <c r="AI43" s="20"/>
      <c r="AJ43" s="27" t="e">
        <f>_xlfn.XLOOKUP(AJ42,人员名单!$E:$E,人员名单!$B:$B)</f>
        <v>#N/A</v>
      </c>
      <c r="AK43" s="27" t="e">
        <f>_xlfn.XLOOKUP(AK42,人员名单!$E:$E,人员名单!$B:$B)</f>
        <v>#N/A</v>
      </c>
      <c r="AL43" s="28" t="e">
        <f>_xlfn.XLOOKUP(AL42,人员名单!$E:$E,人员名单!$B:$B)</f>
        <v>#N/A</v>
      </c>
      <c r="AM43" s="28" t="e">
        <f>_xlfn.XLOOKUP(AM42,人员名单!$E:$E,人员名单!$B:$B)</f>
        <v>#N/A</v>
      </c>
      <c r="AN43" s="28" t="e">
        <f>_xlfn.XLOOKUP(AN42,人员名单!$E:$E,人员名单!$B:$B)</f>
        <v>#N/A</v>
      </c>
      <c r="AO43" s="28" t="e">
        <f>_xlfn.XLOOKUP(AO42,人员名单!$E:$E,人员名单!$B:$B)</f>
        <v>#N/A</v>
      </c>
      <c r="AP43" s="28" t="e">
        <f>_xlfn.XLOOKUP(AP42,人员名单!$E:$E,人员名单!$B:$B)</f>
        <v>#N/A</v>
      </c>
      <c r="AQ43" s="29" t="e">
        <f>_xlfn.XLOOKUP(AQ42,人员名单!$E:$E,人员名单!$B:$B)</f>
        <v>#N/A</v>
      </c>
      <c r="AR43" s="29" t="e">
        <f>_xlfn.XLOOKUP(AR42,人员名单!$E:$E,人员名单!$B:$B)</f>
        <v>#N/A</v>
      </c>
      <c r="AS43" s="29" t="e">
        <f>_xlfn.XLOOKUP(AS42,人员名单!$E:$E,人员名单!$B:$B)</f>
        <v>#N/A</v>
      </c>
      <c r="AT43" s="29" t="e">
        <f>_xlfn.XLOOKUP(AT42,人员名单!$E:$E,人员名单!$B:$B)</f>
        <v>#N/A</v>
      </c>
      <c r="AW43" s="15"/>
    </row>
    <row r="44" spans="1:53">
      <c r="M44" s="14"/>
      <c r="N44" s="14"/>
      <c r="O44" s="17"/>
      <c r="AI44" s="18"/>
    </row>
    <row r="45" spans="1:53">
      <c r="A45" s="21" t="s">
        <v>39</v>
      </c>
      <c r="D45" s="16">
        <v>42</v>
      </c>
      <c r="E45" s="16">
        <v>41</v>
      </c>
      <c r="F45" s="16">
        <v>40</v>
      </c>
      <c r="G45" s="16">
        <v>39</v>
      </c>
      <c r="H45" s="16">
        <v>38</v>
      </c>
      <c r="I45" s="16">
        <v>37</v>
      </c>
      <c r="J45" s="16">
        <v>36</v>
      </c>
      <c r="K45" s="16">
        <v>35</v>
      </c>
      <c r="L45" s="16">
        <v>34</v>
      </c>
      <c r="M45" s="16">
        <v>33</v>
      </c>
      <c r="N45" s="16">
        <v>32</v>
      </c>
      <c r="O45" s="17"/>
      <c r="P45" s="16">
        <v>31</v>
      </c>
      <c r="Q45" s="16">
        <v>30</v>
      </c>
      <c r="R45" s="16">
        <v>29</v>
      </c>
      <c r="S45" s="16">
        <v>28</v>
      </c>
      <c r="T45" s="16">
        <v>27</v>
      </c>
      <c r="U45" s="16">
        <v>26</v>
      </c>
      <c r="V45" s="16">
        <v>25</v>
      </c>
      <c r="W45" s="16">
        <v>24</v>
      </c>
      <c r="X45" s="16">
        <v>23</v>
      </c>
      <c r="Y45" s="16">
        <v>22</v>
      </c>
      <c r="Z45" s="16">
        <v>21</v>
      </c>
      <c r="AA45" s="16">
        <v>20</v>
      </c>
      <c r="AB45" s="16">
        <v>19</v>
      </c>
      <c r="AC45" s="16">
        <v>18</v>
      </c>
      <c r="AD45" s="16">
        <v>17</v>
      </c>
      <c r="AE45" s="16">
        <v>16</v>
      </c>
      <c r="AF45" s="16">
        <v>15</v>
      </c>
      <c r="AG45" s="16">
        <v>14</v>
      </c>
      <c r="AH45" s="16">
        <v>13</v>
      </c>
      <c r="AI45" s="18"/>
      <c r="AJ45" s="16">
        <v>12</v>
      </c>
      <c r="AK45" s="16">
        <v>11</v>
      </c>
      <c r="AL45" s="16">
        <v>10</v>
      </c>
      <c r="AM45" s="16">
        <v>9</v>
      </c>
      <c r="AN45" s="16">
        <v>8</v>
      </c>
      <c r="AO45" s="16">
        <v>7</v>
      </c>
      <c r="AP45" s="16">
        <v>6</v>
      </c>
      <c r="AQ45" s="16">
        <v>5</v>
      </c>
      <c r="AR45" s="16">
        <v>4</v>
      </c>
      <c r="AS45" s="16">
        <v>3</v>
      </c>
      <c r="AT45" s="16">
        <v>2</v>
      </c>
      <c r="AW45" s="21" t="s">
        <v>39</v>
      </c>
      <c r="AY45" s="1">
        <v>41</v>
      </c>
    </row>
    <row r="46" spans="1:53">
      <c r="A46" s="21"/>
      <c r="D46" s="23">
        <v>335</v>
      </c>
      <c r="E46" s="23">
        <v>333</v>
      </c>
      <c r="F46" s="23">
        <v>331</v>
      </c>
      <c r="G46" s="23">
        <v>329</v>
      </c>
      <c r="H46" s="23">
        <v>327</v>
      </c>
      <c r="I46" s="23">
        <v>325</v>
      </c>
      <c r="J46" s="23">
        <v>323</v>
      </c>
      <c r="K46" s="23">
        <v>321</v>
      </c>
      <c r="L46" s="23">
        <v>319</v>
      </c>
      <c r="M46" s="23">
        <v>317</v>
      </c>
      <c r="N46" s="23">
        <v>315</v>
      </c>
      <c r="O46" s="17"/>
      <c r="P46" s="23">
        <v>313</v>
      </c>
      <c r="Q46" s="23">
        <v>311</v>
      </c>
      <c r="R46" s="23">
        <v>309</v>
      </c>
      <c r="S46" s="23">
        <v>307</v>
      </c>
      <c r="T46" s="23">
        <v>305</v>
      </c>
      <c r="U46" s="23">
        <v>303</v>
      </c>
      <c r="V46" s="23">
        <v>301</v>
      </c>
      <c r="W46" s="23">
        <v>299</v>
      </c>
      <c r="X46" s="23">
        <v>297</v>
      </c>
      <c r="Y46" s="23">
        <v>295</v>
      </c>
      <c r="Z46" s="23">
        <v>296</v>
      </c>
      <c r="AA46" s="23">
        <v>298</v>
      </c>
      <c r="AB46" s="23">
        <v>300</v>
      </c>
      <c r="AC46" s="23">
        <v>302</v>
      </c>
      <c r="AD46" s="23">
        <v>304</v>
      </c>
      <c r="AE46" s="23">
        <v>306</v>
      </c>
      <c r="AF46" s="23">
        <v>308</v>
      </c>
      <c r="AG46" s="23">
        <v>310</v>
      </c>
      <c r="AH46" s="23">
        <v>312</v>
      </c>
      <c r="AI46" s="18"/>
      <c r="AJ46" s="23">
        <v>314</v>
      </c>
      <c r="AK46" s="23">
        <v>316</v>
      </c>
      <c r="AL46" s="23">
        <v>318</v>
      </c>
      <c r="AM46" s="23">
        <v>320</v>
      </c>
      <c r="AN46" s="23">
        <v>322</v>
      </c>
      <c r="AO46" s="23">
        <v>324</v>
      </c>
      <c r="AP46" s="23">
        <v>326</v>
      </c>
      <c r="AQ46" s="23">
        <v>328</v>
      </c>
      <c r="AR46" s="23">
        <v>330</v>
      </c>
      <c r="AS46" s="23">
        <v>332</v>
      </c>
      <c r="AT46" s="23">
        <v>334</v>
      </c>
      <c r="AW46" s="21"/>
    </row>
    <row r="47" spans="1:53" ht="55.5">
      <c r="A47" s="21"/>
      <c r="D47" s="24" t="e">
        <f>_xlfn.XLOOKUP(D46,人员名单!$E:$E,人员名单!$B:$B)</f>
        <v>#N/A</v>
      </c>
      <c r="E47" s="24" t="e">
        <f>_xlfn.XLOOKUP(E46,人员名单!$E:$E,人员名单!$B:$B)</f>
        <v>#N/A</v>
      </c>
      <c r="F47" s="24" t="e">
        <f>_xlfn.XLOOKUP(F46,人员名单!$E:$E,人员名单!$B:$B)</f>
        <v>#N/A</v>
      </c>
      <c r="G47" s="24" t="e">
        <f>_xlfn.XLOOKUP(G46,人员名单!$E:$E,人员名单!$B:$B)</f>
        <v>#N/A</v>
      </c>
      <c r="H47" s="24" t="e">
        <f>_xlfn.XLOOKUP(H46,人员名单!$E:$E,人员名单!$B:$B)</f>
        <v>#N/A</v>
      </c>
      <c r="I47" s="25" t="e">
        <f>_xlfn.XLOOKUP(I46,人员名单!$E:$E,人员名单!$B:$B)</f>
        <v>#N/A</v>
      </c>
      <c r="J47" s="25" t="e">
        <f>_xlfn.XLOOKUP(J46,人员名单!$E:$E,人员名单!$B:$B)</f>
        <v>#N/A</v>
      </c>
      <c r="K47" s="25" t="e">
        <f>_xlfn.XLOOKUP(K46,人员名单!$E:$E,人员名单!$B:$B)</f>
        <v>#N/A</v>
      </c>
      <c r="L47" s="25" t="e">
        <f>_xlfn.XLOOKUP(L46,人员名单!$E:$E,人员名单!$B:$B)</f>
        <v>#N/A</v>
      </c>
      <c r="M47" s="25" t="e">
        <f>_xlfn.XLOOKUP(M46,人员名单!$E:$E,人员名单!$B:$B)</f>
        <v>#N/A</v>
      </c>
      <c r="N47" s="25" t="e">
        <f>_xlfn.XLOOKUP(N46,人员名单!$E:$E,人员名单!$B:$B)</f>
        <v>#N/A</v>
      </c>
      <c r="O47" s="20"/>
      <c r="P47" s="26" t="e">
        <f>_xlfn.XLOOKUP(P46,人员名单!$E:$E,人员名单!$B:$B)</f>
        <v>#N/A</v>
      </c>
      <c r="Q47" s="26" t="e">
        <f>_xlfn.XLOOKUP(Q46,人员名单!$E:$E,人员名单!$B:$B)</f>
        <v>#N/A</v>
      </c>
      <c r="R47" s="26" t="e">
        <f>_xlfn.XLOOKUP(R46,人员名单!$E:$E,人员名单!$B:$B)</f>
        <v>#N/A</v>
      </c>
      <c r="S47" s="26" t="e">
        <f>_xlfn.XLOOKUP(S46,人员名单!$E:$E,人员名单!$B:$B)</f>
        <v>#N/A</v>
      </c>
      <c r="T47" s="26" t="e">
        <f>_xlfn.XLOOKUP(T46,人员名单!$E:$E,人员名单!$B:$B)</f>
        <v>#N/A</v>
      </c>
      <c r="U47" s="26" t="e">
        <f>_xlfn.XLOOKUP(U46,人员名单!$E:$E,人员名单!$B:$B)</f>
        <v>#N/A</v>
      </c>
      <c r="V47" s="30" t="e">
        <f>_xlfn.XLOOKUP(V46,人员名单!$E:$E,人员名单!$B:$B)</f>
        <v>#N/A</v>
      </c>
      <c r="W47" s="30" t="e">
        <f>_xlfn.XLOOKUP(W46,人员名单!$E:$E,人员名单!$B:$B)</f>
        <v>#N/A</v>
      </c>
      <c r="X47" s="30" t="e">
        <f>_xlfn.XLOOKUP(X46,人员名单!$E:$E,人员名单!$B:$B)</f>
        <v>#N/A</v>
      </c>
      <c r="Y47" s="30" t="e">
        <f>_xlfn.XLOOKUP(Y46,人员名单!$E:$E,人员名单!$B:$B)</f>
        <v>#N/A</v>
      </c>
      <c r="Z47" s="30" t="e">
        <f>_xlfn.XLOOKUP(Z46,人员名单!$E:$E,人员名单!$B:$B)</f>
        <v>#N/A</v>
      </c>
      <c r="AA47" s="30" t="e">
        <f>_xlfn.XLOOKUP(AA46,人员名单!$E:$E,人员名单!$B:$B)</f>
        <v>#N/A</v>
      </c>
      <c r="AB47" s="30" t="e">
        <f>_xlfn.XLOOKUP(AB46,人员名单!$E:$E,人员名单!$B:$B)</f>
        <v>#N/A</v>
      </c>
      <c r="AC47" s="30" t="e">
        <f>_xlfn.XLOOKUP(AC46,人员名单!$E:$E,人员名单!$B:$B)</f>
        <v>#N/A</v>
      </c>
      <c r="AD47" s="30" t="e">
        <f>_xlfn.XLOOKUP(AD46,人员名单!$E:$E,人员名单!$B:$B)</f>
        <v>#N/A</v>
      </c>
      <c r="AE47" s="30" t="e">
        <f>_xlfn.XLOOKUP(AE46,人员名单!$E:$E,人员名单!$B:$B)</f>
        <v>#N/A</v>
      </c>
      <c r="AF47" s="27" t="e">
        <f>_xlfn.XLOOKUP(AF46,人员名单!$E:$E,人员名单!$B:$B)</f>
        <v>#N/A</v>
      </c>
      <c r="AG47" s="27" t="e">
        <f>_xlfn.XLOOKUP(AG46,人员名单!$E:$E,人员名单!$B:$B)</f>
        <v>#N/A</v>
      </c>
      <c r="AH47" s="27" t="e">
        <f>_xlfn.XLOOKUP(AH46,人员名单!$E:$E,人员名单!$B:$B)</f>
        <v>#N/A</v>
      </c>
      <c r="AI47" s="20"/>
      <c r="AJ47" s="27" t="e">
        <f>_xlfn.XLOOKUP(AJ46,人员名单!$E:$E,人员名单!$B:$B)</f>
        <v>#N/A</v>
      </c>
      <c r="AK47" s="27" t="e">
        <f>_xlfn.XLOOKUP(AK46,人员名单!$E:$E,人员名单!$B:$B)</f>
        <v>#N/A</v>
      </c>
      <c r="AL47" s="28" t="e">
        <f>_xlfn.XLOOKUP(AL46,人员名单!$E:$E,人员名单!$B:$B)</f>
        <v>#N/A</v>
      </c>
      <c r="AM47" s="28" t="e">
        <f>_xlfn.XLOOKUP(AM46,人员名单!$E:$E,人员名单!$B:$B)</f>
        <v>#N/A</v>
      </c>
      <c r="AN47" s="28" t="e">
        <f>_xlfn.XLOOKUP(AN46,人员名单!$E:$E,人员名单!$B:$B)</f>
        <v>#N/A</v>
      </c>
      <c r="AO47" s="28" t="e">
        <f>_xlfn.XLOOKUP(AO46,人员名单!$E:$E,人员名单!$B:$B)</f>
        <v>#N/A</v>
      </c>
      <c r="AP47" s="28" t="e">
        <f>_xlfn.XLOOKUP(AP46,人员名单!$E:$E,人员名单!$B:$B)</f>
        <v>#N/A</v>
      </c>
      <c r="AQ47" s="29" t="e">
        <f>_xlfn.XLOOKUP(AQ46,人员名单!$E:$E,人员名单!$B:$B)</f>
        <v>#N/A</v>
      </c>
      <c r="AR47" s="29" t="e">
        <f>_xlfn.XLOOKUP(AR46,人员名单!$E:$E,人员名单!$B:$B)</f>
        <v>#N/A</v>
      </c>
      <c r="AS47" s="29" t="e">
        <f>_xlfn.XLOOKUP(AS46,人员名单!$E:$E,人员名单!$B:$B)</f>
        <v>#N/A</v>
      </c>
      <c r="AT47" s="29" t="e">
        <f>_xlfn.XLOOKUP(AT46,人员名单!$E:$E,人员名单!$B:$B)</f>
        <v>#N/A</v>
      </c>
      <c r="AW47" s="21"/>
    </row>
    <row r="48" spans="1:53">
      <c r="M48" s="14"/>
      <c r="N48" s="14"/>
      <c r="O48" s="17"/>
      <c r="AI48" s="18"/>
    </row>
    <row r="49" spans="1:51">
      <c r="A49" s="15" t="s">
        <v>40</v>
      </c>
      <c r="E49" s="16">
        <v>38</v>
      </c>
      <c r="F49" s="16">
        <v>37</v>
      </c>
      <c r="G49" s="16">
        <v>36</v>
      </c>
      <c r="H49" s="16">
        <v>35</v>
      </c>
      <c r="I49" s="16">
        <v>34</v>
      </c>
      <c r="J49" s="16">
        <v>33</v>
      </c>
      <c r="K49" s="16">
        <v>32</v>
      </c>
      <c r="L49" s="16">
        <v>31</v>
      </c>
      <c r="M49" s="16">
        <v>30</v>
      </c>
      <c r="N49" s="16">
        <v>29</v>
      </c>
      <c r="O49" s="17"/>
      <c r="Q49" s="16">
        <v>28</v>
      </c>
      <c r="R49" s="16">
        <v>27</v>
      </c>
      <c r="S49" s="16">
        <v>26</v>
      </c>
      <c r="T49" s="16">
        <v>25</v>
      </c>
      <c r="U49" s="16">
        <v>24</v>
      </c>
      <c r="V49" s="16">
        <v>23</v>
      </c>
      <c r="W49" s="16">
        <v>22</v>
      </c>
      <c r="X49" s="16">
        <v>21</v>
      </c>
      <c r="Y49" s="16">
        <v>20</v>
      </c>
      <c r="Z49" s="16">
        <v>19</v>
      </c>
      <c r="AA49" s="16">
        <v>18</v>
      </c>
      <c r="AB49" s="16">
        <v>17</v>
      </c>
      <c r="AC49" s="16">
        <v>16</v>
      </c>
      <c r="AD49" s="16">
        <v>15</v>
      </c>
      <c r="AE49" s="16">
        <v>14</v>
      </c>
      <c r="AF49" s="16">
        <v>13</v>
      </c>
      <c r="AG49" s="16">
        <v>12</v>
      </c>
      <c r="AI49" s="18"/>
      <c r="AJ49" s="16">
        <v>11</v>
      </c>
      <c r="AK49" s="16">
        <v>10</v>
      </c>
      <c r="AL49" s="16">
        <v>9</v>
      </c>
      <c r="AM49" s="16">
        <v>8</v>
      </c>
      <c r="AN49" s="16">
        <v>7</v>
      </c>
      <c r="AO49" s="16">
        <v>6</v>
      </c>
      <c r="AP49" s="16">
        <v>5</v>
      </c>
      <c r="AQ49" s="16">
        <v>4</v>
      </c>
      <c r="AR49" s="16">
        <v>3</v>
      </c>
      <c r="AS49" s="16">
        <v>2</v>
      </c>
      <c r="AW49" s="15" t="s">
        <v>40</v>
      </c>
      <c r="AY49" s="1">
        <v>37</v>
      </c>
    </row>
    <row r="50" spans="1:51">
      <c r="A50" s="15"/>
      <c r="E50" s="23">
        <v>372</v>
      </c>
      <c r="F50" s="23">
        <v>370</v>
      </c>
      <c r="G50" s="23">
        <v>368</v>
      </c>
      <c r="H50" s="23">
        <v>366</v>
      </c>
      <c r="I50" s="23">
        <v>364</v>
      </c>
      <c r="J50" s="23">
        <v>362</v>
      </c>
      <c r="K50" s="23">
        <v>360</v>
      </c>
      <c r="L50" s="23">
        <v>358</v>
      </c>
      <c r="M50" s="23">
        <v>356</v>
      </c>
      <c r="N50" s="23">
        <v>354</v>
      </c>
      <c r="O50" s="17"/>
      <c r="Q50" s="23">
        <v>352</v>
      </c>
      <c r="R50" s="23">
        <v>350</v>
      </c>
      <c r="S50" s="23">
        <v>348</v>
      </c>
      <c r="T50" s="23">
        <v>346</v>
      </c>
      <c r="U50" s="23">
        <v>344</v>
      </c>
      <c r="V50" s="23">
        <v>342</v>
      </c>
      <c r="W50" s="23">
        <v>340</v>
      </c>
      <c r="X50" s="23">
        <v>338</v>
      </c>
      <c r="Y50" s="23">
        <v>336</v>
      </c>
      <c r="Z50" s="23">
        <v>337</v>
      </c>
      <c r="AA50" s="23">
        <v>339</v>
      </c>
      <c r="AB50" s="23">
        <v>341</v>
      </c>
      <c r="AC50" s="23">
        <v>343</v>
      </c>
      <c r="AD50" s="23">
        <v>345</v>
      </c>
      <c r="AE50" s="23">
        <v>347</v>
      </c>
      <c r="AF50" s="23">
        <v>349</v>
      </c>
      <c r="AG50" s="23">
        <v>351</v>
      </c>
      <c r="AI50" s="18"/>
      <c r="AJ50" s="23">
        <v>353</v>
      </c>
      <c r="AK50" s="23">
        <v>355</v>
      </c>
      <c r="AL50" s="23">
        <v>357</v>
      </c>
      <c r="AM50" s="23">
        <v>359</v>
      </c>
      <c r="AN50" s="23">
        <v>361</v>
      </c>
      <c r="AO50" s="23">
        <v>363</v>
      </c>
      <c r="AP50" s="23">
        <v>365</v>
      </c>
      <c r="AQ50" s="23">
        <v>367</v>
      </c>
      <c r="AR50" s="23">
        <v>369</v>
      </c>
      <c r="AS50" s="23">
        <v>371</v>
      </c>
      <c r="AW50" s="15"/>
    </row>
    <row r="51" spans="1:51" ht="55.5">
      <c r="A51" s="15"/>
      <c r="E51" s="24" t="e">
        <f>_xlfn.XLOOKUP(E50,人员名单!$E:$E,人员名单!$B:$B)</f>
        <v>#N/A</v>
      </c>
      <c r="F51" s="24" t="e">
        <f>_xlfn.XLOOKUP(F50,人员名单!$E:$E,人员名单!$B:$B)</f>
        <v>#N/A</v>
      </c>
      <c r="G51" s="24" t="e">
        <f>_xlfn.XLOOKUP(G50,人员名单!$E:$E,人员名单!$B:$B)</f>
        <v>#N/A</v>
      </c>
      <c r="H51" s="24" t="e">
        <f>_xlfn.XLOOKUP(H50,人员名单!$E:$E,人员名单!$B:$B)</f>
        <v>#N/A</v>
      </c>
      <c r="I51" s="25" t="e">
        <f>_xlfn.XLOOKUP(I50,人员名单!$E:$E,人员名单!$B:$B)</f>
        <v>#N/A</v>
      </c>
      <c r="J51" s="25" t="e">
        <f>_xlfn.XLOOKUP(J50,人员名单!$E:$E,人员名单!$B:$B)</f>
        <v>#N/A</v>
      </c>
      <c r="K51" s="25" t="e">
        <f>_xlfn.XLOOKUP(K50,人员名单!$E:$E,人员名单!$B:$B)</f>
        <v>#N/A</v>
      </c>
      <c r="L51" s="25" t="e">
        <f>_xlfn.XLOOKUP(L50,人员名单!$E:$E,人员名单!$B:$B)</f>
        <v>#N/A</v>
      </c>
      <c r="M51" s="25" t="e">
        <f>_xlfn.XLOOKUP(M50,人员名单!$E:$E,人员名单!$B:$B)</f>
        <v>#N/A</v>
      </c>
      <c r="N51" s="25" t="e">
        <f>_xlfn.XLOOKUP(N50,人员名单!$E:$E,人员名单!$B:$B)</f>
        <v>#N/A</v>
      </c>
      <c r="O51" s="20"/>
      <c r="P51" s="20"/>
      <c r="Q51" s="26" t="e">
        <f>_xlfn.XLOOKUP(Q50,人员名单!$E:$E,人员名单!$B:$B)</f>
        <v>#N/A</v>
      </c>
      <c r="R51" s="26" t="e">
        <f>_xlfn.XLOOKUP(R50,人员名单!$E:$E,人员名单!$B:$B)</f>
        <v>#N/A</v>
      </c>
      <c r="S51" s="26" t="e">
        <f>_xlfn.XLOOKUP(S50,人员名单!$E:$E,人员名单!$B:$B)</f>
        <v>#N/A</v>
      </c>
      <c r="T51" s="26" t="e">
        <f>_xlfn.XLOOKUP(T50,人员名单!$E:$E,人员名单!$B:$B)</f>
        <v>#N/A</v>
      </c>
      <c r="U51" s="26" t="e">
        <f>_xlfn.XLOOKUP(U50,人员名单!$E:$E,人员名单!$B:$B)</f>
        <v>#N/A</v>
      </c>
      <c r="V51" s="30" t="e">
        <f>_xlfn.XLOOKUP(V50,人员名单!$E:$E,人员名单!$B:$B)</f>
        <v>#N/A</v>
      </c>
      <c r="W51" s="30" t="e">
        <f>_xlfn.XLOOKUP(W50,人员名单!$E:$E,人员名单!$B:$B)</f>
        <v>#N/A</v>
      </c>
      <c r="X51" s="30" t="e">
        <f>_xlfn.XLOOKUP(X50,人员名单!$E:$E,人员名单!$B:$B)</f>
        <v>#N/A</v>
      </c>
      <c r="Y51" s="30" t="e">
        <f>_xlfn.XLOOKUP(Y50,人员名单!$E:$E,人员名单!$B:$B)</f>
        <v>#N/A</v>
      </c>
      <c r="Z51" s="30" t="e">
        <f>_xlfn.XLOOKUP(Z50,人员名单!$E:$E,人员名单!$B:$B)</f>
        <v>#N/A</v>
      </c>
      <c r="AA51" s="30" t="e">
        <f>_xlfn.XLOOKUP(AA50,人员名单!$E:$E,人员名单!$B:$B)</f>
        <v>#N/A</v>
      </c>
      <c r="AB51" s="30" t="e">
        <f>_xlfn.XLOOKUP(AB50,人员名单!$E:$E,人员名单!$B:$B)</f>
        <v>#N/A</v>
      </c>
      <c r="AC51" s="30" t="e">
        <f>_xlfn.XLOOKUP(AC50,人员名单!$E:$E,人员名单!$B:$B)</f>
        <v>#N/A</v>
      </c>
      <c r="AD51" s="30" t="e">
        <f>_xlfn.XLOOKUP(AD50,人员名单!$E:$E,人员名单!$B:$B)</f>
        <v>#N/A</v>
      </c>
      <c r="AE51" s="30" t="e">
        <f>_xlfn.XLOOKUP(AE50,人员名单!$E:$E,人员名单!$B:$B)</f>
        <v>#N/A</v>
      </c>
      <c r="AF51" s="27" t="e">
        <f>_xlfn.XLOOKUP(AF50,人员名单!$E:$E,人员名单!$B:$B)</f>
        <v>#N/A</v>
      </c>
      <c r="AG51" s="27" t="e">
        <f>_xlfn.XLOOKUP(AG50,人员名单!$E:$E,人员名单!$B:$B)</f>
        <v>#N/A</v>
      </c>
      <c r="AH51" s="20"/>
      <c r="AI51" s="20"/>
      <c r="AJ51" s="27" t="e">
        <f>_xlfn.XLOOKUP(AJ50,人员名单!$E:$E,人员名单!$B:$B)</f>
        <v>#N/A</v>
      </c>
      <c r="AK51" s="27" t="e">
        <f>_xlfn.XLOOKUP(AK50,人员名单!$E:$E,人员名单!$B:$B)</f>
        <v>#N/A</v>
      </c>
      <c r="AL51" s="28" t="e">
        <f>_xlfn.XLOOKUP(AL50,人员名单!$E:$E,人员名单!$B:$B)</f>
        <v>#N/A</v>
      </c>
      <c r="AM51" s="28" t="e">
        <f>_xlfn.XLOOKUP(AM50,人员名单!$E:$E,人员名单!$B:$B)</f>
        <v>#N/A</v>
      </c>
      <c r="AN51" s="28" t="e">
        <f>_xlfn.XLOOKUP(AN50,人员名单!$E:$E,人员名单!$B:$B)</f>
        <v>#N/A</v>
      </c>
      <c r="AO51" s="28" t="e">
        <f>_xlfn.XLOOKUP(AO50,人员名单!$E:$E,人员名单!$B:$B)</f>
        <v>#N/A</v>
      </c>
      <c r="AP51" s="28" t="e">
        <f>_xlfn.XLOOKUP(AP50,人员名单!$E:$E,人员名单!$B:$B)</f>
        <v>#N/A</v>
      </c>
      <c r="AQ51" s="29" t="s">
        <v>41</v>
      </c>
      <c r="AR51" s="29" t="e">
        <f>_xlfn.XLOOKUP(AR50,人员名单!$E:$E,人员名单!$B:$B)</f>
        <v>#N/A</v>
      </c>
      <c r="AS51" s="29" t="s">
        <v>41</v>
      </c>
      <c r="AW51" s="15"/>
    </row>
    <row r="52" spans="1:51">
      <c r="M52" s="14"/>
      <c r="N52" s="14"/>
      <c r="O52" s="17"/>
      <c r="AI52" s="18"/>
    </row>
    <row r="53" spans="1:51">
      <c r="A53" s="21" t="s">
        <v>42</v>
      </c>
      <c r="F53" s="16">
        <v>36</v>
      </c>
      <c r="G53" s="16">
        <v>35</v>
      </c>
      <c r="H53" s="16">
        <v>34</v>
      </c>
      <c r="I53" s="16">
        <v>33</v>
      </c>
      <c r="J53" s="16">
        <v>32</v>
      </c>
      <c r="K53" s="16">
        <v>31</v>
      </c>
      <c r="L53" s="31">
        <v>30</v>
      </c>
      <c r="M53" s="16">
        <v>29</v>
      </c>
      <c r="N53" s="16">
        <v>28</v>
      </c>
      <c r="O53" s="17"/>
      <c r="Q53" s="16">
        <v>27</v>
      </c>
      <c r="R53" s="16">
        <v>26</v>
      </c>
      <c r="S53" s="16">
        <v>25</v>
      </c>
      <c r="T53" s="16">
        <v>24</v>
      </c>
      <c r="U53" s="16">
        <v>23</v>
      </c>
      <c r="V53" s="16">
        <v>22</v>
      </c>
      <c r="W53" s="16">
        <v>21</v>
      </c>
      <c r="X53" s="16">
        <v>20</v>
      </c>
      <c r="Y53" s="16">
        <v>19</v>
      </c>
      <c r="Z53" s="16">
        <v>18</v>
      </c>
      <c r="AA53" s="16">
        <v>17</v>
      </c>
      <c r="AB53" s="16">
        <v>16</v>
      </c>
      <c r="AC53" s="16">
        <v>15</v>
      </c>
      <c r="AD53" s="16">
        <v>14</v>
      </c>
      <c r="AE53" s="16">
        <v>13</v>
      </c>
      <c r="AF53" s="16">
        <v>12</v>
      </c>
      <c r="AG53" s="16">
        <v>11</v>
      </c>
      <c r="AI53" s="18"/>
      <c r="AJ53" s="16">
        <v>10</v>
      </c>
      <c r="AK53" s="16">
        <v>9</v>
      </c>
      <c r="AL53" s="16">
        <v>8</v>
      </c>
      <c r="AM53" s="16">
        <v>7</v>
      </c>
      <c r="AN53" s="16">
        <v>6</v>
      </c>
      <c r="AO53" s="16">
        <v>5</v>
      </c>
      <c r="AP53" s="16">
        <v>4</v>
      </c>
      <c r="AQ53" s="16">
        <v>3</v>
      </c>
      <c r="AR53" s="16">
        <v>2</v>
      </c>
      <c r="AW53" s="21" t="s">
        <v>42</v>
      </c>
      <c r="AY53" s="1">
        <v>35</v>
      </c>
    </row>
    <row r="54" spans="1:51">
      <c r="A54" s="21"/>
      <c r="F54" s="23">
        <v>407</v>
      </c>
      <c r="G54" s="23">
        <v>405</v>
      </c>
      <c r="H54" s="23">
        <v>403</v>
      </c>
      <c r="I54" s="23">
        <v>401</v>
      </c>
      <c r="J54" s="23">
        <v>399</v>
      </c>
      <c r="K54" s="23">
        <v>397</v>
      </c>
      <c r="L54" s="23">
        <v>395</v>
      </c>
      <c r="M54" s="32">
        <v>393</v>
      </c>
      <c r="N54" s="23">
        <v>391</v>
      </c>
      <c r="O54" s="17"/>
      <c r="Q54" s="23">
        <v>389</v>
      </c>
      <c r="R54" s="23">
        <v>387</v>
      </c>
      <c r="S54" s="23">
        <v>385</v>
      </c>
      <c r="T54" s="23">
        <v>383</v>
      </c>
      <c r="U54" s="23">
        <v>381</v>
      </c>
      <c r="V54" s="23">
        <v>379</v>
      </c>
      <c r="W54" s="23">
        <v>377</v>
      </c>
      <c r="X54" s="23">
        <v>375</v>
      </c>
      <c r="Y54" s="23">
        <v>373</v>
      </c>
      <c r="Z54" s="23">
        <v>374</v>
      </c>
      <c r="AA54" s="23">
        <v>376</v>
      </c>
      <c r="AB54" s="23">
        <v>378</v>
      </c>
      <c r="AC54" s="23">
        <v>380</v>
      </c>
      <c r="AD54" s="23">
        <v>382</v>
      </c>
      <c r="AE54" s="23">
        <v>384</v>
      </c>
      <c r="AF54" s="23">
        <v>386</v>
      </c>
      <c r="AG54" s="23">
        <v>388</v>
      </c>
      <c r="AI54" s="18"/>
      <c r="AJ54" s="23">
        <v>390</v>
      </c>
      <c r="AK54" s="23">
        <v>392</v>
      </c>
      <c r="AL54" s="23">
        <v>394</v>
      </c>
      <c r="AM54" s="23">
        <v>396</v>
      </c>
      <c r="AN54" s="23">
        <v>398</v>
      </c>
      <c r="AO54" s="23">
        <v>400</v>
      </c>
      <c r="AP54" s="23">
        <v>402</v>
      </c>
      <c r="AQ54" s="23">
        <v>404</v>
      </c>
      <c r="AR54" s="23">
        <v>406</v>
      </c>
      <c r="AW54" s="21"/>
    </row>
    <row r="55" spans="1:51">
      <c r="A55" s="21"/>
      <c r="F55" s="16" t="s">
        <v>43</v>
      </c>
      <c r="G55" s="16"/>
      <c r="H55" s="16"/>
      <c r="I55" s="16"/>
      <c r="J55" s="16"/>
      <c r="K55" s="16"/>
      <c r="L55" s="31"/>
      <c r="M55" s="16"/>
      <c r="N55" s="16" t="s">
        <v>44</v>
      </c>
      <c r="O55" s="17"/>
      <c r="Q55" s="16" t="s">
        <v>43</v>
      </c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 t="s">
        <v>44</v>
      </c>
      <c r="AI55" s="18"/>
      <c r="AJ55" s="16" t="s">
        <v>43</v>
      </c>
      <c r="AK55" s="16"/>
      <c r="AL55" s="16"/>
      <c r="AM55" s="16"/>
      <c r="AN55" s="16"/>
      <c r="AO55" s="16"/>
      <c r="AP55" s="16"/>
      <c r="AQ55" s="16"/>
      <c r="AR55" s="16" t="s">
        <v>44</v>
      </c>
      <c r="AW55" s="21"/>
    </row>
    <row r="56" spans="1:51">
      <c r="O56" s="17"/>
      <c r="AI56" s="18"/>
      <c r="AJ56" s="33"/>
      <c r="AK56" s="16"/>
      <c r="AL56" s="16"/>
      <c r="AM56" s="16"/>
      <c r="AN56" s="16"/>
      <c r="AO56" s="16"/>
      <c r="AP56" s="16"/>
    </row>
    <row r="57" spans="1:51">
      <c r="A57" s="15" t="s">
        <v>45</v>
      </c>
      <c r="H57" s="16">
        <v>31</v>
      </c>
      <c r="I57" s="16">
        <v>30</v>
      </c>
      <c r="J57" s="16">
        <v>29</v>
      </c>
      <c r="K57" s="16">
        <v>28</v>
      </c>
      <c r="L57" s="16">
        <v>27</v>
      </c>
      <c r="M57" s="16">
        <v>26</v>
      </c>
      <c r="N57" s="16">
        <v>25</v>
      </c>
      <c r="O57" s="17"/>
      <c r="R57" s="16">
        <v>24</v>
      </c>
      <c r="S57" s="16">
        <v>23</v>
      </c>
      <c r="T57" s="16">
        <v>22</v>
      </c>
      <c r="U57" s="16">
        <v>21</v>
      </c>
      <c r="V57" s="16">
        <v>20</v>
      </c>
      <c r="W57" s="16">
        <v>19</v>
      </c>
      <c r="X57" s="16">
        <v>18</v>
      </c>
      <c r="Y57" s="16">
        <v>17</v>
      </c>
      <c r="Z57" s="16">
        <v>16</v>
      </c>
      <c r="AA57" s="16">
        <v>15</v>
      </c>
      <c r="AB57" s="16">
        <v>14</v>
      </c>
      <c r="AC57" s="16">
        <v>13</v>
      </c>
      <c r="AD57" s="16">
        <v>12</v>
      </c>
      <c r="AE57" s="16">
        <v>11</v>
      </c>
      <c r="AF57" s="16">
        <v>10</v>
      </c>
      <c r="AI57" s="18"/>
      <c r="AJ57" s="16">
        <v>9</v>
      </c>
      <c r="AK57" s="16">
        <v>8</v>
      </c>
      <c r="AL57" s="16">
        <v>7</v>
      </c>
      <c r="AM57" s="16">
        <v>6</v>
      </c>
      <c r="AN57" s="16">
        <v>5</v>
      </c>
      <c r="AO57" s="16">
        <v>4</v>
      </c>
      <c r="AP57" s="16">
        <v>3</v>
      </c>
      <c r="AW57" s="15" t="s">
        <v>45</v>
      </c>
      <c r="AY57" s="1">
        <v>29</v>
      </c>
    </row>
    <row r="58" spans="1:51">
      <c r="A58" s="15"/>
      <c r="H58" s="23">
        <v>436</v>
      </c>
      <c r="I58" s="23">
        <v>434</v>
      </c>
      <c r="J58" s="23">
        <v>432</v>
      </c>
      <c r="K58" s="23">
        <v>430</v>
      </c>
      <c r="L58" s="23">
        <v>428</v>
      </c>
      <c r="M58" s="23">
        <v>426</v>
      </c>
      <c r="N58" s="23">
        <v>424</v>
      </c>
      <c r="O58" s="17"/>
      <c r="R58" s="23">
        <v>422</v>
      </c>
      <c r="S58" s="23">
        <v>420</v>
      </c>
      <c r="T58" s="23">
        <v>418</v>
      </c>
      <c r="U58" s="23">
        <v>416</v>
      </c>
      <c r="V58" s="23">
        <v>414</v>
      </c>
      <c r="W58" s="23">
        <v>412</v>
      </c>
      <c r="X58" s="23">
        <v>410</v>
      </c>
      <c r="Y58" s="23">
        <v>408</v>
      </c>
      <c r="Z58" s="23">
        <v>409</v>
      </c>
      <c r="AA58" s="23">
        <v>411</v>
      </c>
      <c r="AB58" s="23">
        <v>413</v>
      </c>
      <c r="AC58" s="23">
        <v>415</v>
      </c>
      <c r="AD58" s="23">
        <v>417</v>
      </c>
      <c r="AE58" s="23">
        <v>419</v>
      </c>
      <c r="AF58" s="23">
        <v>421</v>
      </c>
      <c r="AI58" s="18"/>
      <c r="AJ58" s="23">
        <v>423</v>
      </c>
      <c r="AK58" s="23">
        <v>425</v>
      </c>
      <c r="AL58" s="23">
        <v>427</v>
      </c>
      <c r="AM58" s="23">
        <v>429</v>
      </c>
      <c r="AN58" s="23">
        <v>431</v>
      </c>
      <c r="AO58" s="23">
        <v>433</v>
      </c>
      <c r="AP58" s="23">
        <v>435</v>
      </c>
      <c r="AW58" s="15"/>
    </row>
    <row r="59" spans="1:51">
      <c r="A59" s="15"/>
      <c r="H59" s="16" t="s">
        <v>46</v>
      </c>
      <c r="I59" s="16"/>
      <c r="J59" s="16" t="s">
        <v>47</v>
      </c>
      <c r="K59" s="16"/>
      <c r="L59" s="16" t="s">
        <v>48</v>
      </c>
      <c r="M59" s="16"/>
      <c r="N59" s="16" t="s">
        <v>49</v>
      </c>
      <c r="O59" s="17"/>
      <c r="R59" s="16" t="s">
        <v>46</v>
      </c>
      <c r="S59" s="16"/>
      <c r="T59" s="16" t="s">
        <v>47</v>
      </c>
      <c r="U59" s="16"/>
      <c r="V59" s="16" t="s">
        <v>48</v>
      </c>
      <c r="W59" s="16"/>
      <c r="X59" s="16" t="s">
        <v>49</v>
      </c>
      <c r="Y59" s="16"/>
      <c r="Z59" s="16" t="s">
        <v>46</v>
      </c>
      <c r="AA59" s="16"/>
      <c r="AB59" s="16" t="s">
        <v>47</v>
      </c>
      <c r="AC59" s="16"/>
      <c r="AD59" s="16" t="s">
        <v>48</v>
      </c>
      <c r="AE59" s="16"/>
      <c r="AF59" s="16" t="s">
        <v>49</v>
      </c>
      <c r="AI59" s="18"/>
      <c r="AJ59" s="16" t="s">
        <v>46</v>
      </c>
      <c r="AK59" s="16"/>
      <c r="AL59" s="16" t="s">
        <v>47</v>
      </c>
      <c r="AM59" s="16"/>
      <c r="AN59" s="16" t="s">
        <v>48</v>
      </c>
      <c r="AO59" s="16"/>
      <c r="AP59" s="16" t="s">
        <v>49</v>
      </c>
      <c r="AW59" s="15"/>
    </row>
    <row r="60" spans="1:51">
      <c r="O60" s="17"/>
      <c r="AI60" s="18"/>
    </row>
    <row r="61" spans="1:51">
      <c r="A61" s="21" t="s">
        <v>50</v>
      </c>
      <c r="J61" s="16">
        <v>27</v>
      </c>
      <c r="K61" s="16">
        <v>26</v>
      </c>
      <c r="L61" s="16">
        <v>25</v>
      </c>
      <c r="M61" s="16">
        <v>24</v>
      </c>
      <c r="N61" s="16">
        <v>23</v>
      </c>
      <c r="O61" s="17"/>
      <c r="R61" s="16">
        <v>22</v>
      </c>
      <c r="S61" s="16">
        <v>21</v>
      </c>
      <c r="T61" s="16">
        <v>20</v>
      </c>
      <c r="U61" s="16">
        <v>19</v>
      </c>
      <c r="V61" s="16">
        <v>18</v>
      </c>
      <c r="W61" s="16">
        <v>17</v>
      </c>
      <c r="X61" s="16">
        <v>16</v>
      </c>
      <c r="Y61" s="16">
        <v>15</v>
      </c>
      <c r="Z61" s="16">
        <v>14</v>
      </c>
      <c r="AA61" s="16">
        <v>13</v>
      </c>
      <c r="AB61" s="16">
        <v>12</v>
      </c>
      <c r="AC61" s="16">
        <v>11</v>
      </c>
      <c r="AD61" s="16">
        <v>10</v>
      </c>
      <c r="AE61" s="16">
        <v>9</v>
      </c>
      <c r="AF61" s="16">
        <v>8</v>
      </c>
      <c r="AI61" s="18"/>
      <c r="AJ61" s="16">
        <v>7</v>
      </c>
      <c r="AK61" s="16">
        <v>6</v>
      </c>
      <c r="AL61" s="16">
        <v>5</v>
      </c>
      <c r="AM61" s="16">
        <v>4</v>
      </c>
      <c r="AN61" s="16">
        <v>3</v>
      </c>
      <c r="AW61" s="21" t="s">
        <v>50</v>
      </c>
      <c r="AY61" s="1">
        <v>25</v>
      </c>
    </row>
    <row r="62" spans="1:51">
      <c r="J62" s="23">
        <v>461</v>
      </c>
      <c r="K62" s="23">
        <v>459</v>
      </c>
      <c r="L62" s="23">
        <v>457</v>
      </c>
      <c r="M62" s="23">
        <v>455</v>
      </c>
      <c r="N62" s="23">
        <v>453</v>
      </c>
      <c r="O62" s="17"/>
      <c r="R62" s="23">
        <v>451</v>
      </c>
      <c r="S62" s="23">
        <v>449</v>
      </c>
      <c r="T62" s="23">
        <v>447</v>
      </c>
      <c r="U62" s="23">
        <v>445</v>
      </c>
      <c r="V62" s="23">
        <v>443</v>
      </c>
      <c r="W62" s="23">
        <v>441</v>
      </c>
      <c r="X62" s="23">
        <v>439</v>
      </c>
      <c r="Y62" s="23">
        <v>437</v>
      </c>
      <c r="Z62" s="23">
        <v>438</v>
      </c>
      <c r="AA62" s="23">
        <v>440</v>
      </c>
      <c r="AB62" s="23">
        <v>442</v>
      </c>
      <c r="AC62" s="23">
        <v>444</v>
      </c>
      <c r="AD62" s="23">
        <v>446</v>
      </c>
      <c r="AE62" s="23">
        <v>448</v>
      </c>
      <c r="AF62" s="23">
        <v>450</v>
      </c>
      <c r="AI62" s="18"/>
      <c r="AJ62" s="23">
        <v>452</v>
      </c>
      <c r="AK62" s="23">
        <v>454</v>
      </c>
      <c r="AL62" s="23">
        <v>456</v>
      </c>
      <c r="AM62" s="23">
        <v>458</v>
      </c>
      <c r="AN62" s="23">
        <v>460</v>
      </c>
    </row>
    <row r="63" spans="1:51">
      <c r="J63" s="16" t="s">
        <v>51</v>
      </c>
      <c r="K63" s="16"/>
      <c r="L63" s="16"/>
      <c r="M63" s="16"/>
      <c r="N63" s="16" t="s">
        <v>51</v>
      </c>
      <c r="O63" s="17"/>
      <c r="R63" s="34" t="s">
        <v>52</v>
      </c>
      <c r="S63" s="34"/>
      <c r="T63" s="34" t="s">
        <v>53</v>
      </c>
      <c r="U63" s="34"/>
      <c r="V63" s="34" t="s">
        <v>52</v>
      </c>
      <c r="W63" s="34"/>
      <c r="X63" s="34" t="s">
        <v>53</v>
      </c>
      <c r="Y63" s="34"/>
      <c r="Z63" s="34" t="s">
        <v>52</v>
      </c>
      <c r="AA63" s="34"/>
      <c r="AB63" s="34" t="s">
        <v>53</v>
      </c>
      <c r="AC63" s="34"/>
      <c r="AD63" s="34" t="s">
        <v>52</v>
      </c>
      <c r="AE63" s="34"/>
      <c r="AF63" s="34" t="s">
        <v>53</v>
      </c>
      <c r="AI63" s="18"/>
      <c r="AJ63" s="16" t="s">
        <v>51</v>
      </c>
      <c r="AK63" s="16"/>
      <c r="AL63" s="16"/>
      <c r="AM63" s="16"/>
      <c r="AN63" s="16" t="s">
        <v>51</v>
      </c>
    </row>
    <row r="64" spans="1:51">
      <c r="O64" s="3"/>
      <c r="AY64" s="35">
        <f>SUM(AY13:AY61)</f>
        <v>461</v>
      </c>
    </row>
    <row r="65" spans="5:44">
      <c r="O65" s="93" t="s">
        <v>54</v>
      </c>
      <c r="P65" s="93"/>
      <c r="AH65" s="93" t="s">
        <v>54</v>
      </c>
      <c r="AI65" s="93"/>
    </row>
    <row r="66" spans="5:44">
      <c r="O66" s="93" t="s">
        <v>55</v>
      </c>
      <c r="P66" s="93"/>
      <c r="AH66" s="93" t="s">
        <v>55</v>
      </c>
      <c r="AI66" s="93"/>
    </row>
    <row r="68" spans="5:44">
      <c r="E68" s="36"/>
      <c r="F68" s="36" t="s">
        <v>56</v>
      </c>
      <c r="G68" s="36"/>
      <c r="J68" s="37"/>
      <c r="K68" s="37" t="s">
        <v>57</v>
      </c>
      <c r="L68" s="37"/>
      <c r="P68" s="38"/>
      <c r="Q68" s="38" t="s">
        <v>58</v>
      </c>
      <c r="R68" s="38"/>
      <c r="W68" s="39"/>
      <c r="X68" s="39" t="s">
        <v>59</v>
      </c>
      <c r="Y68" s="39"/>
      <c r="AE68" s="40"/>
      <c r="AF68" s="40" t="s">
        <v>60</v>
      </c>
      <c r="AG68" s="40"/>
      <c r="AK68" s="41"/>
      <c r="AL68" s="41" t="s">
        <v>58</v>
      </c>
      <c r="AM68" s="41"/>
      <c r="AP68" s="42"/>
      <c r="AQ68" s="42" t="s">
        <v>61</v>
      </c>
      <c r="AR68" s="42"/>
    </row>
    <row r="69" spans="5:44">
      <c r="F69" s="1" t="s">
        <v>62</v>
      </c>
      <c r="K69" s="1" t="s">
        <v>63</v>
      </c>
      <c r="Q69" s="1" t="s">
        <v>64</v>
      </c>
      <c r="X69" s="1" t="s">
        <v>65</v>
      </c>
      <c r="AF69" s="1" t="s">
        <v>66</v>
      </c>
      <c r="AL69" s="1" t="s">
        <v>67</v>
      </c>
      <c r="AQ69" s="1" t="s">
        <v>41</v>
      </c>
    </row>
  </sheetData>
  <mergeCells count="17">
    <mergeCell ref="Q1:AF1"/>
    <mergeCell ref="A2:F2"/>
    <mergeCell ref="N2:AE2"/>
    <mergeCell ref="AF2:AI2"/>
    <mergeCell ref="B3:F3"/>
    <mergeCell ref="P3:AG3"/>
    <mergeCell ref="Q4:AF4"/>
    <mergeCell ref="A5:F5"/>
    <mergeCell ref="R5:AE5"/>
    <mergeCell ref="A6:F6"/>
    <mergeCell ref="S6:AD6"/>
    <mergeCell ref="A7:F7"/>
    <mergeCell ref="A8:F8"/>
    <mergeCell ref="O65:P65"/>
    <mergeCell ref="AH65:AI65"/>
    <mergeCell ref="O66:P66"/>
    <mergeCell ref="AH66:AI66"/>
  </mergeCells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人员名单</vt:lpstr>
      <vt:lpstr>座位图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t</cp:lastModifiedBy>
  <dcterms:created xsi:type="dcterms:W3CDTF">2023-05-12T11:15:00Z</dcterms:created>
  <dcterms:modified xsi:type="dcterms:W3CDTF">2026-09-14T02:41:48Z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1E0BA4CC5D854F538A97E1FB3888A725_13</vt:lpwstr>
  </property>
  <property fmtid="{D5CDD505-2E9C-101B-9397-08002B2CF9AE}" pid="4" name="CalculationRule">
    <vt:i4>0</vt:i4>
  </property>
</Properties>
</file>